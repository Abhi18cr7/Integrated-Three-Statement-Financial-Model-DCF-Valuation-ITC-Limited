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IS" sheetId="3" state="visible" r:id="rId5"/>
    <sheet name="BS" sheetId="4" state="visible" r:id="rId6"/>
    <sheet name="CF" sheetId="5" state="visible" r:id="rId7"/>
    <sheet name="Ratios" sheetId="6" state="visible" r:id="rId8"/>
    <sheet name="DCF" sheetId="7" state="visible" r:id="rId9"/>
    <sheet name="Check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4" authorId="0">
      <text>
        <r>
          <rPr>
            <sz val="10"/>
            <rFont val="Arial"/>
            <family val="2"/>
          </rPr>
          <t xml:space="preserve">Base-year equity is the balancing figure of the illustrative opening balance sheet. Replace inputs with audited data and hard-link reported equity if desired.</t>
        </r>
      </text>
    </comment>
  </commentList>
</comments>
</file>

<file path=xl/sharedStrings.xml><?xml version="1.0" encoding="utf-8"?>
<sst xmlns="http://schemas.openxmlformats.org/spreadsheetml/2006/main" count="490" uniqueCount="272">
  <si>
    <t xml:space="preserve">Integrated Three-Statement Model &amp; DCF Valuation</t>
  </si>
  <si>
    <t xml:space="preserve">#</t>
  </si>
  <si>
    <t xml:space="preserve">Model overview</t>
  </si>
  <si>
    <t xml:space="preserve">•  Fully linked Income Statement, Balance Sheet and Cash Flow with a 5-year forecast (FY2026E-FY2030E) on 5 years of history.</t>
  </si>
  <si>
    <t xml:space="preserve">•  Driver-based forecasting: growth, cost ratios, working-capital days, capex, D&amp;A roll-forward, payout and financing - all on the Inputs sheet.</t>
  </si>
  <si>
    <t xml:space="preserve">•  Base / Bull / Bear scenario switch (Inputs!D8). Interest is calculated on opening balances so the model has no circular references.</t>
  </si>
  <si>
    <t xml:space="preserve">•  FCFF DCF with CAPM-based WACC, Gordon-growth terminal value, YEARFRAC discounting and a WACC x growth sensitivity grid.</t>
  </si>
  <si>
    <t xml:space="preserve">•  Automated integrity checks (balance sheet, cash, equity roll-forward, valuation) roll up to a single status flag.</t>
  </si>
  <si>
    <t xml:space="preserve">Key outputs (live)</t>
  </si>
  <si>
    <t xml:space="preserve">Active scenario</t>
  </si>
  <si>
    <t xml:space="preserve">Revenue CAGR FY25A-FY30E</t>
  </si>
  <si>
    <t xml:space="preserve">EBITDA margin FY30E</t>
  </si>
  <si>
    <t xml:space="preserve">EPS FY30E (Rs)</t>
  </si>
  <si>
    <t xml:space="preserve">WACC</t>
  </si>
  <si>
    <t xml:space="preserve">Enterprise value (Rs cr)</t>
  </si>
  <si>
    <t xml:space="preserve">Equity value (Rs cr)</t>
  </si>
  <si>
    <t xml:space="preserve">Intrinsic value per share (Rs)</t>
  </si>
  <si>
    <t xml:space="preserve">Upside / (downside) vs market cap</t>
  </si>
  <si>
    <t xml:space="preserve">Model integrity status</t>
  </si>
  <si>
    <t xml:space="preserve">Model index</t>
  </si>
  <si>
    <t xml:space="preserve">Inputs</t>
  </si>
  <si>
    <t xml:space="preserve">All assumptions, historical data, scenario levers</t>
  </si>
  <si>
    <t xml:space="preserve">IS</t>
  </si>
  <si>
    <t xml:space="preserve">Income statement + common-size analysis</t>
  </si>
  <si>
    <t xml:space="preserve">BS</t>
  </si>
  <si>
    <t xml:space="preserve">Balance sheet with balance check</t>
  </si>
  <si>
    <t xml:space="preserve">CF</t>
  </si>
  <si>
    <t xml:space="preserve">Cash flow statement</t>
  </si>
  <si>
    <t xml:space="preserve">Ratios</t>
  </si>
  <si>
    <t xml:space="preserve">Profitability, returns, liquidity, working capital</t>
  </si>
  <si>
    <t xml:space="preserve">DCF</t>
  </si>
  <si>
    <t xml:space="preserve">WACC, FCFF, terminal value, sensitivity</t>
  </si>
  <si>
    <t xml:space="preserve">Checks</t>
  </si>
  <si>
    <t xml:space="preserve">Model integrity checks</t>
  </si>
  <si>
    <t xml:space="preserve">Modelling standards applied</t>
  </si>
  <si>
    <t xml:space="preserve">•  Blue font = hard-coded input  |  Black = formula  |  Green = link to another sheet  |  Yellow fill = key lever.</t>
  </si>
  <si>
    <t xml:space="preserve">•  Numbers: #,##0.0;(#,##0.0)  |  Percentages 2 d.p.  |  Years formatted 0"A" (actual) / 0"E" (estimate).</t>
  </si>
  <si>
    <t xml:space="preserve">•  Base year hard-coded once; every later year = previous + 1. No constant is hard-coded in more than one place.</t>
  </si>
  <si>
    <t xml:space="preserve">•  Partial anchoring (D$7) in common-size formulas; grouped rows instead of hidden rows; gridlines off; frozen headers.</t>
  </si>
  <si>
    <t xml:space="preserve">•  Column A margin with '#' section anchors (Ctrl+Arrow navigation); dynamic sheet titles linked to the company name cell.</t>
  </si>
  <si>
    <t xml:space="preserve">Important data note</t>
  </si>
  <si>
    <t xml:space="preserve">Reported ITC figures (FY22 and FY25 revenue, EBITDA, PBT) are sourced and cited on the Inputs sheet. Cost splits, FY23-24, the opening balance</t>
  </si>
  <si>
    <t xml:space="preserve">sheet and market inputs are analyst estimates: reconcile them to ITC's audited annual reports before using this model for any real decision.</t>
  </si>
  <si>
    <t xml:space="preserve">Trend summary</t>
  </si>
  <si>
    <t xml:space="preserve">Fiscal year</t>
  </si>
  <si>
    <t xml:space="preserve">Revenue (Rs cr)</t>
  </si>
  <si>
    <t xml:space="preserve">EBITDA (Rs cr)</t>
  </si>
  <si>
    <t xml:space="preserve">EBITDA margin (%)</t>
  </si>
  <si>
    <t xml:space="preserve">Inputs &amp; Assumptions</t>
  </si>
  <si>
    <t xml:space="preserve">All hard-coded inputs live here (blue font). Yellow = key levers. Column O documents source / status of each input.</t>
  </si>
  <si>
    <t xml:space="preserve">General settings</t>
  </si>
  <si>
    <t xml:space="preserve">Company name</t>
  </si>
  <si>
    <t xml:space="preserve">ITC Limited</t>
  </si>
  <si>
    <t xml:space="preserve">Change this cell: every sheet title updates automatically (dynamic titles).</t>
  </si>
  <si>
    <t xml:space="preserve">Reporting currency / unit</t>
  </si>
  <si>
    <t xml:space="preserve">INR crore (Rs cr)</t>
  </si>
  <si>
    <t xml:space="preserve">1 crore = 10 million</t>
  </si>
  <si>
    <t xml:space="preserve">First historical fiscal year (FY ends 31-Mar)</t>
  </si>
  <si>
    <t xml:space="preserve">Timeline base year is hard-coded once; all other years = previous + 1.</t>
  </si>
  <si>
    <t xml:space="preserve">Scenario selector (1 = Base, 2 = Bull, 3 = Bear)</t>
  </si>
  <si>
    <t xml:space="preserve">KEY LEVER. Change to 2 or 3 and the whole model, DCF and dashboard re-compute.</t>
  </si>
  <si>
    <t xml:space="preserve">Forecast effective tax rate</t>
  </si>
  <si>
    <t xml:space="preserve">Assumption: Indian corporate tax rate under Sec 115BAA (25.17% incl. surcharge &amp; cess).</t>
  </si>
  <si>
    <t xml:space="preserve">Shares outstanding (crore)</t>
  </si>
  <si>
    <t xml:space="preserve">Approximation (~12.5 bn shares). Verify against latest ITC shareholding pattern.</t>
  </si>
  <si>
    <t xml:space="preserve">Valuation date (base balance sheet date)</t>
  </si>
  <si>
    <t xml:space="preserve">Set to the last actual balance sheet. Roll forward when FY26 actuals are loaded.</t>
  </si>
  <si>
    <t xml:space="preserve">Current market capitalisation (Rs cr)</t>
  </si>
  <si>
    <t xml:space="preserve">Source: Screener.in ITC page (consolidated), retrieved 28-Sep-2026. Update before use.</t>
  </si>
  <si>
    <t xml:space="preserve">Dividend payout ratio (% of net income)</t>
  </si>
  <si>
    <t xml:space="preserve">Assumption based on ITC's historically high payout policy. Verify.</t>
  </si>
  <si>
    <t xml:space="preserve">Timeline</t>
  </si>
  <si>
    <t xml:space="preserve">Fiscal year ending 31-Mar</t>
  </si>
  <si>
    <t xml:space="preserve">Unit</t>
  </si>
  <si>
    <t xml:space="preserve">Historical income statement inputs (Rs cr)</t>
  </si>
  <si>
    <t xml:space="preserve">Gross revenue</t>
  </si>
  <si>
    <t xml:space="preserve">Rs cr</t>
  </si>
  <si>
    <t xml:space="preserve">FY22 (59,101) and FY25 (73,465) reported; FY21 back-derived from reported +22.7% FY22 growth; FY23-24 analyst estimates. Sources: Business Standard 19-May-2022; ITC Q4 FY25 press release 22-May-2025.</t>
  </si>
  <si>
    <t xml:space="preserve">Cost of goods sold</t>
  </si>
  <si>
    <t xml:space="preserve">ANALYST ESTIMATE of cost split - reconcile to Annual Report.</t>
  </si>
  <si>
    <t xml:space="preserve">Employee cost</t>
  </si>
  <si>
    <t xml:space="preserve">ANALYST ESTIMATE - reconcile to Annual Report.</t>
  </si>
  <si>
    <t xml:space="preserve">Other operating expenses</t>
  </si>
  <si>
    <t xml:space="preserve">Balancing item so that EBITDA ties to reported FY22 (18,934) and FY25 (24,025); other years estimated.</t>
  </si>
  <si>
    <t xml:space="preserve">Depreciation &amp; amortisation</t>
  </si>
  <si>
    <t xml:space="preserve">Other income</t>
  </si>
  <si>
    <t xml:space="preserve">FY22 and FY25 set so PBT ties to reported (19,829 / 26,001); other years estimated.</t>
  </si>
  <si>
    <t xml:space="preserve">Interest expense</t>
  </si>
  <si>
    <t xml:space="preserve">Effective tax rate</t>
  </si>
  <si>
    <t xml:space="preserve">%</t>
  </si>
  <si>
    <t xml:space="preserve">FY22 rate ties to reported PAT of 15,058; others estimated.</t>
  </si>
  <si>
    <t xml:space="preserve">Forecast drivers - Base case (all inputs)</t>
  </si>
  <si>
    <t xml:space="preserve">Revenue growth</t>
  </si>
  <si>
    <t xml:space="preserve">Assumption: high-single-digit growth, consistent with FY22-FY25 trend (see IS).</t>
  </si>
  <si>
    <t xml:space="preserve">COGS % of revenue</t>
  </si>
  <si>
    <t xml:space="preserve">Employee cost % of revenue</t>
  </si>
  <si>
    <t xml:space="preserve">Other opex % of revenue</t>
  </si>
  <si>
    <t xml:space="preserve">Scenario adjustments (added to Base case)</t>
  </si>
  <si>
    <t xml:space="preserve">Base</t>
  </si>
  <si>
    <t xml:space="preserve">Bull</t>
  </si>
  <si>
    <t xml:space="preserve">Bear</t>
  </si>
  <si>
    <t xml:space="preserve">Revenue growth adjustment</t>
  </si>
  <si>
    <t xml:space="preserve">pp</t>
  </si>
  <si>
    <t xml:space="preserve">COGS % adjustment</t>
  </si>
  <si>
    <t xml:space="preserve">Live drivers (formulas - active scenario)</t>
  </si>
  <si>
    <t xml:space="preserve">Revenue growth - live</t>
  </si>
  <si>
    <t xml:space="preserve">COGS % of revenue - live</t>
  </si>
  <si>
    <t xml:space="preserve">Other operating, capex &amp; balance sheet drivers</t>
  </si>
  <si>
    <t xml:space="preserve">D&amp;A % of opening net PPE</t>
  </si>
  <si>
    <t xml:space="preserve">Forecast drivers are analyst assumptions calibrated to base-year (FY25A) ratios.</t>
  </si>
  <si>
    <t xml:space="preserve">Capex % of revenue</t>
  </si>
  <si>
    <t xml:space="preserve">Receivable days (on revenue)</t>
  </si>
  <si>
    <t xml:space="preserve">days</t>
  </si>
  <si>
    <t xml:space="preserve">Inventory days (on COGS)</t>
  </si>
  <si>
    <t xml:space="preserve">Payable days (on COGS)</t>
  </si>
  <si>
    <t xml:space="preserve">Other current assets % of revenue</t>
  </si>
  <si>
    <t xml:space="preserve">Other current liabilities % of revenue</t>
  </si>
  <si>
    <t xml:space="preserve">Yield on opening cash &amp; investments</t>
  </si>
  <si>
    <t xml:space="preserve">Interest calculated on OPENING balances =&gt; no circular reference (iterative calc stays OFF).</t>
  </si>
  <si>
    <t xml:space="preserve">Interest rate on opening debt</t>
  </si>
  <si>
    <t xml:space="preserve">Debt repayment</t>
  </si>
  <si>
    <t xml:space="preserve">Opening balance sheet - FY2025A (Rs cr)</t>
  </si>
  <si>
    <t xml:space="preserve">Cash &amp; investments</t>
  </si>
  <si>
    <t xml:space="preserve">ILLUSTRATIVE OPENING BALANCE SHEET - replace with ITC FY25 audited balance sheet. Equity is derived as the balancing figure.</t>
  </si>
  <si>
    <t xml:space="preserve">Net PPE incl. CWIP</t>
  </si>
  <si>
    <t xml:space="preserve">Intangibles &amp; other non-current assets</t>
  </si>
  <si>
    <t xml:space="preserve">Inventories</t>
  </si>
  <si>
    <t xml:space="preserve">Trade receivables</t>
  </si>
  <si>
    <t xml:space="preserve">Other current assets</t>
  </si>
  <si>
    <t xml:space="preserve">Trade payables</t>
  </si>
  <si>
    <t xml:space="preserve">Other current liabilities</t>
  </si>
  <si>
    <t xml:space="preserve">Debt incl. lease liabilities</t>
  </si>
  <si>
    <t xml:space="preserve">Other non-current liabilities</t>
  </si>
  <si>
    <t xml:space="preserve">Income statement</t>
  </si>
  <si>
    <t xml:space="preserve">Revenue</t>
  </si>
  <si>
    <t xml:space="preserve">   growth %</t>
  </si>
  <si>
    <t xml:space="preserve">Gross profit</t>
  </si>
  <si>
    <t xml:space="preserve">EBITDA</t>
  </si>
  <si>
    <t xml:space="preserve">EBIT</t>
  </si>
  <si>
    <t xml:space="preserve">Profit before tax</t>
  </si>
  <si>
    <t xml:space="preserve">Tax</t>
  </si>
  <si>
    <t xml:space="preserve">Net income</t>
  </si>
  <si>
    <t xml:space="preserve">EPS</t>
  </si>
  <si>
    <t xml:space="preserve">Rs</t>
  </si>
  <si>
    <t xml:space="preserve">Common-size income statement (% of revenue)</t>
  </si>
  <si>
    <t xml:space="preserve">COGS</t>
  </si>
  <si>
    <t xml:space="preserve">Gross margin</t>
  </si>
  <si>
    <t xml:space="preserve">EBITDA margin</t>
  </si>
  <si>
    <t xml:space="preserve">D&amp;A</t>
  </si>
  <si>
    <t xml:space="preserve">EBIT margin</t>
  </si>
  <si>
    <t xml:space="preserve">PBT margin</t>
  </si>
  <si>
    <t xml:space="preserve">Net margin</t>
  </si>
  <si>
    <t xml:space="preserve">Assets</t>
  </si>
  <si>
    <t xml:space="preserve">Total current assets</t>
  </si>
  <si>
    <t xml:space="preserve">Total non-current assets</t>
  </si>
  <si>
    <t xml:space="preserve">Total assets</t>
  </si>
  <si>
    <t xml:space="preserve">Liabilities &amp; equity</t>
  </si>
  <si>
    <t xml:space="preserve">Total liabilities</t>
  </si>
  <si>
    <t xml:space="preserve">Shareholders' equity</t>
  </si>
  <si>
    <t xml:space="preserve">Total liabilities &amp; equity</t>
  </si>
  <si>
    <t xml:space="preserve">Balance check (assets - liabilities &amp; equity)</t>
  </si>
  <si>
    <t xml:space="preserve">Status</t>
  </si>
  <si>
    <t xml:space="preserve">Operating activities</t>
  </si>
  <si>
    <t xml:space="preserve">Add: D&amp;A</t>
  </si>
  <si>
    <t xml:space="preserve">(Increase)/decrease in receivables</t>
  </si>
  <si>
    <t xml:space="preserve">(Increase)/decrease in inventories</t>
  </si>
  <si>
    <t xml:space="preserve">(Increase)/decrease in other current assets</t>
  </si>
  <si>
    <t xml:space="preserve">Increase/(decrease) in payables</t>
  </si>
  <si>
    <t xml:space="preserve">Increase/(decrease) in other current liabilities</t>
  </si>
  <si>
    <t xml:space="preserve">Cash flow from operations</t>
  </si>
  <si>
    <t xml:space="preserve">Investing activities</t>
  </si>
  <si>
    <t xml:space="preserve">Capital expenditure</t>
  </si>
  <si>
    <t xml:space="preserve">Cash flow from investing</t>
  </si>
  <si>
    <t xml:space="preserve">Financing activities</t>
  </si>
  <si>
    <t xml:space="preserve">Debt drawdown/(repayment)</t>
  </si>
  <si>
    <t xml:space="preserve">Dividends paid</t>
  </si>
  <si>
    <t xml:space="preserve">Cash flow from financing</t>
  </si>
  <si>
    <t xml:space="preserve">Net cash movement</t>
  </si>
  <si>
    <t xml:space="preserve">Net change in cash</t>
  </si>
  <si>
    <t xml:space="preserve">Opening cash &amp; investments</t>
  </si>
  <si>
    <t xml:space="preserve">Closing cash &amp; investments</t>
  </si>
  <si>
    <t xml:space="preserve">Growth &amp; profitability</t>
  </si>
  <si>
    <t xml:space="preserve">EPS growth</t>
  </si>
  <si>
    <t xml:space="preserve">Returns</t>
  </si>
  <si>
    <t xml:space="preserve">Return on equity (avg equity)</t>
  </si>
  <si>
    <t xml:space="preserve">ROCE (EBIT / equity + debt)</t>
  </si>
  <si>
    <t xml:space="preserve">Liquidity &amp; leverage</t>
  </si>
  <si>
    <t xml:space="preserve">Current ratio</t>
  </si>
  <si>
    <t xml:space="preserve">x</t>
  </si>
  <si>
    <t xml:space="preserve">Net cash / (net debt)</t>
  </si>
  <si>
    <t xml:space="preserve">Net cash / EBITDA</t>
  </si>
  <si>
    <t xml:space="preserve">Working capital efficiency</t>
  </si>
  <si>
    <t xml:space="preserve">Receivable days</t>
  </si>
  <si>
    <t xml:space="preserve">Inventory days</t>
  </si>
  <si>
    <t xml:space="preserve">Payable days</t>
  </si>
  <si>
    <t xml:space="preserve">Cash conversion cycle</t>
  </si>
  <si>
    <t xml:space="preserve">Cash flow &amp; payout</t>
  </si>
  <si>
    <t xml:space="preserve">FCFF</t>
  </si>
  <si>
    <t xml:space="preserve">FCFF / net income</t>
  </si>
  <si>
    <t xml:space="preserve">Dividend payout ratio</t>
  </si>
  <si>
    <t xml:space="preserve">Cost of capital (WACC)</t>
  </si>
  <si>
    <t xml:space="preserve">Risk-free rate (10Y G-Sec)</t>
  </si>
  <si>
    <t xml:space="preserve">Assumption - update with current 10Y Government of India bond yield.</t>
  </si>
  <si>
    <t xml:space="preserve">Equity risk premium</t>
  </si>
  <si>
    <t xml:space="preserve">Assumption - India ERP (e.g. Damodaran). Update.</t>
  </si>
  <si>
    <t xml:space="preserve">Equity beta</t>
  </si>
  <si>
    <t xml:space="preserve">Assumption - update with current regression / Bloomberg beta.</t>
  </si>
  <si>
    <t xml:space="preserve">Cost of equity (CAPM)</t>
  </si>
  <si>
    <t xml:space="preserve">Pre-tax cost of debt</t>
  </si>
  <si>
    <t xml:space="preserve">Tax rate</t>
  </si>
  <si>
    <t xml:space="preserve">After-tax cost of debt</t>
  </si>
  <si>
    <t xml:space="preserve">Market capitalisation</t>
  </si>
  <si>
    <t xml:space="preserve">Debt (FY25A)</t>
  </si>
  <si>
    <t xml:space="preserve">Capital structure</t>
  </si>
  <si>
    <t xml:space="preserve">Weight</t>
  </si>
  <si>
    <t xml:space="preserve">Cost</t>
  </si>
  <si>
    <t xml:space="preserve">Equity</t>
  </si>
  <si>
    <t xml:space="preserve">Debt</t>
  </si>
  <si>
    <t xml:space="preserve">WACC (SUMPRODUCT of weights x costs)</t>
  </si>
  <si>
    <t xml:space="preserve">Terminal growth rate</t>
  </si>
  <si>
    <t xml:space="preserve">Valuation date</t>
  </si>
  <si>
    <t xml:space="preserve">Free cash flow to firm (FCFF)</t>
  </si>
  <si>
    <t xml:space="preserve">Less: tax on EBIT</t>
  </si>
  <si>
    <t xml:space="preserve">NOPAT</t>
  </si>
  <si>
    <t xml:space="preserve">Less: capex</t>
  </si>
  <si>
    <t xml:space="preserve">Less: increase in net working capital</t>
  </si>
  <si>
    <t xml:space="preserve">Period end date</t>
  </si>
  <si>
    <t xml:space="preserve">date</t>
  </si>
  <si>
    <t xml:space="preserve">Discount period (years, YEARFRAC)</t>
  </si>
  <si>
    <t xml:space="preserve">yrs</t>
  </si>
  <si>
    <t xml:space="preserve">Discount factor</t>
  </si>
  <si>
    <t xml:space="preserve">PV of FCFF</t>
  </si>
  <si>
    <t xml:space="preserve">Valuation summary</t>
  </si>
  <si>
    <t xml:space="preserve">Sum of PV of FCFF</t>
  </si>
  <si>
    <t xml:space="preserve">Terminal value (Gordon growth)</t>
  </si>
  <si>
    <t xml:space="preserve">PV of terminal value</t>
  </si>
  <si>
    <t xml:space="preserve">Enterprise value</t>
  </si>
  <si>
    <t xml:space="preserve">Plus: cash &amp; investments</t>
  </si>
  <si>
    <t xml:space="preserve">Less: debt</t>
  </si>
  <si>
    <t xml:space="preserve">Equity value</t>
  </si>
  <si>
    <t xml:space="preserve">Shares outstanding</t>
  </si>
  <si>
    <t xml:space="preserve">crore</t>
  </si>
  <si>
    <t xml:space="preserve">Intrinsic value per share</t>
  </si>
  <si>
    <t xml:space="preserve">Market price per share (implied)</t>
  </si>
  <si>
    <t xml:space="preserve">Upside / (downside) vs market</t>
  </si>
  <si>
    <t xml:space="preserve">Terminal value as % of EV</t>
  </si>
  <si>
    <t xml:space="preserve">Implied EV / EBITDA (FY25A)</t>
  </si>
  <si>
    <t xml:space="preserve">Implied terminal EV / EBITDA (FY30E)</t>
  </si>
  <si>
    <t xml:space="preserve">Sensitivity - intrinsic value per share (Rs): WACC (rows) vs terminal growth (columns)</t>
  </si>
  <si>
    <t xml:space="preserve">WACC \ g</t>
  </si>
  <si>
    <t xml:space="preserve">Model Integrity Checks</t>
  </si>
  <si>
    <t xml:space="preserve">Every check must read OK. Failing checks are highlighted in red and roll up to the Cover.</t>
  </si>
  <si>
    <t xml:space="preserve">Check</t>
  </si>
  <si>
    <t xml:space="preserve">Result</t>
  </si>
  <si>
    <t xml:space="preserve">What it tests</t>
  </si>
  <si>
    <t xml:space="preserve">Balance sheet balances (all years)</t>
  </si>
  <si>
    <t xml:space="preserve">Assets = liabilities + equity in every period</t>
  </si>
  <si>
    <t xml:space="preserve">Cash never negative</t>
  </si>
  <si>
    <t xml:space="preserve">Closing cash &amp; investments &gt;= 0</t>
  </si>
  <si>
    <t xml:space="preserve">Equity roll-forward reconciles</t>
  </si>
  <si>
    <t xml:space="preserve">Closing equity = opening + net income - dividends</t>
  </si>
  <si>
    <t xml:space="preserve">Cash flow ties to balance sheet cash</t>
  </si>
  <si>
    <t xml:space="preserve">CF closing cash = BS cash (final year)</t>
  </si>
  <si>
    <t xml:space="preserve">WACC exceeds terminal growth</t>
  </si>
  <si>
    <t xml:space="preserve">Gordon growth model is valid only when WACC &gt; g</t>
  </si>
  <si>
    <t xml:space="preserve">Scenario selector valid</t>
  </si>
  <si>
    <t xml:space="preserve">Selector must be 1, 2 or 3</t>
  </si>
  <si>
    <t xml:space="preserve">Sensitivity table centre = DCF value</t>
  </si>
  <si>
    <t xml:space="preserve">Sensitivity grid reconciles to headline valuation</t>
  </si>
  <si>
    <t xml:space="preserve">Terminal value share of EV is reasonable</t>
  </si>
  <si>
    <t xml:space="preserve">Warns if TV &gt; 85% of enterprise value</t>
  </si>
  <si>
    <t xml:space="preserve">OVERALL MODEL STATUS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</si>
</sst>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@"/>
    <numFmt numFmtId="166" formatCode="0.00%"/>
    <numFmt numFmtId="167" formatCode="#,##0.00;\(#,##0.00\)"/>
    <numFmt numFmtId="168" formatCode="#,##0.0;\(#,##0.0\)"/>
    <numFmt numFmtId="169" formatCode="0\A"/>
    <numFmt numFmtId="170" formatCode="0\E"/>
    <numFmt numFmtId="171" formatCode="0"/>
    <numFmt numFmtId="172" formatCode="#,##0"/>
    <numFmt numFmtId="173" formatCode="dd\-mmm\-yyyy"/>
    <numFmt numFmtId="174" formatCode="0.0"/>
    <numFmt numFmtId="175" formatCode="0.0\x"/>
    <numFmt numFmtId="176" formatCode="0.0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sz val="11"/>
      <color rgb="FF808080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u val="single"/>
      <sz val="11"/>
      <color rgb="FF0563C1"/>
      <name val="Calibri"/>
      <family val="0"/>
      <charset val="1"/>
    </font>
    <font>
      <sz val="11"/>
      <color rgb="FFC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864"/>
      <name val="Calibri"/>
      <family val="0"/>
      <charset val="1"/>
    </font>
    <font>
      <sz val="11"/>
      <color rgb="FF7F7F7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C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sz val="10"/>
      <name val="Arial"/>
      <family val="2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C0504D"/>
      <rgbColor rgb="FFFFF2CC"/>
      <rgbColor rgb="FFD9E1F2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7F7F7F"/>
      <rgbColor rgb="FF0061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and EBITDA (Rs cr)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Cover!$D$45:$M$45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  <c:lvl>
                  <c:pt idx="0">
                    <c:v>2023A</c:v>
                  </c:pt>
                </c:lvl>
                <c:lvl>
                  <c:pt idx="0">
                    <c:v>2022A</c:v>
                  </c:pt>
                </c:lvl>
                <c:lvl>
                  <c:pt idx="0">
                    <c:v>2021A</c:v>
                  </c:pt>
                </c:lvl>
              </c:multiLvlStrCache>
            </c:multiLvlStrRef>
          </c:cat>
          <c:val>
            <c:numRef>
              <c:f>Cover!$D$46:$M$46</c:f>
              <c:numCache>
                <c:formatCode>#,##0.0;\(#,##0.0\)</c:formatCode>
                <c:ptCount val="10"/>
                <c:pt idx="0">
                  <c:v>48168</c:v>
                </c:pt>
                <c:pt idx="1">
                  <c:v>59101</c:v>
                </c:pt>
                <c:pt idx="2">
                  <c:v>69446</c:v>
                </c:pt>
                <c:pt idx="3">
                  <c:v>70867</c:v>
                </c:pt>
                <c:pt idx="4">
                  <c:v>73465</c:v>
                </c:pt>
                <c:pt idx="5">
                  <c:v>79709.525</c:v>
                </c:pt>
                <c:pt idx="6">
                  <c:v>86484.834625</c:v>
                </c:pt>
                <c:pt idx="7">
                  <c:v>93403.621395</c:v>
                </c:pt>
                <c:pt idx="8">
                  <c:v>100408.892999625</c:v>
                </c:pt>
                <c:pt idx="9">
                  <c:v>107437.515509599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Cover!$D$45:$M$45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2026E</c:v>
                  </c:pt>
                </c:lvl>
                <c:lvl>
                  <c:pt idx="0">
                    <c:v>2025A</c:v>
                  </c:pt>
                </c:lvl>
                <c:lvl>
                  <c:pt idx="0">
                    <c:v>2024A</c:v>
                  </c:pt>
                </c:lvl>
                <c:lvl>
                  <c:pt idx="0">
                    <c:v>2023A</c:v>
                  </c:pt>
                </c:lvl>
                <c:lvl>
                  <c:pt idx="0">
                    <c:v>2022A</c:v>
                  </c:pt>
                </c:lvl>
                <c:lvl>
                  <c:pt idx="0">
                    <c:v>2021A</c:v>
                  </c:pt>
                </c:lvl>
              </c:multiLvlStrCache>
            </c:multiLvlStrRef>
          </c:cat>
          <c:val>
            <c:numRef>
              <c:f>Cover!$D$47:$M$47</c:f>
              <c:numCache>
                <c:formatCode>#,##0.0;\(#,##0.0\)</c:formatCode>
                <c:ptCount val="10"/>
                <c:pt idx="0">
                  <c:v>15330</c:v>
                </c:pt>
                <c:pt idx="1">
                  <c:v>18934</c:v>
                </c:pt>
                <c:pt idx="2">
                  <c:v>22470</c:v>
                </c:pt>
                <c:pt idx="3">
                  <c:v>23050</c:v>
                </c:pt>
                <c:pt idx="4">
                  <c:v>24025</c:v>
                </c:pt>
                <c:pt idx="5">
                  <c:v>26144.7242</c:v>
                </c:pt>
                <c:pt idx="6">
                  <c:v>28453.510591625</c:v>
                </c:pt>
                <c:pt idx="7">
                  <c:v>31010.00230314</c:v>
                </c:pt>
                <c:pt idx="8">
                  <c:v>33436.1613688751</c:v>
                </c:pt>
                <c:pt idx="9">
                  <c:v>35776.6926646964</c:v>
                </c:pt>
              </c:numCache>
            </c:numRef>
          </c:val>
        </c:ser>
        <c:gapWidth val="150"/>
        <c:overlap val="0"/>
        <c:axId val="46558034"/>
        <c:axId val="13130639"/>
      </c:barChart>
      <c:catAx>
        <c:axId val="46558034"/>
        <c:scaling>
          <c:orientation val="minMax"/>
        </c:scaling>
        <c:delete val="0"/>
        <c:axPos val="b"/>
        <c:numFmt formatCode="0\A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30639"/>
        <c:crosses val="autoZero"/>
        <c:auto val="1"/>
        <c:lblAlgn val="ctr"/>
        <c:lblOffset val="100"/>
        <c:noMultiLvlLbl val="0"/>
      </c:catAx>
      <c:valAx>
        <c:axId val="131306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580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48</xdr:row>
      <xdr:rowOff>70560</xdr:rowOff>
    </xdr:from>
    <xdr:to>
      <xdr:col>9</xdr:col>
      <xdr:colOff>109080</xdr:colOff>
      <xdr:row>63</xdr:row>
      <xdr:rowOff>92520</xdr:rowOff>
    </xdr:to>
    <xdr:graphicFrame>
      <xdr:nvGraphicFramePr>
        <xdr:cNvPr id="0" name="Chart 1"/>
        <xdr:cNvGraphicFramePr/>
      </xdr:nvGraphicFramePr>
      <xdr:xfrm>
        <a:off x="77400" y="933444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ITC_Three_Statement_DCF_Model.xlsx" TargetMode="External"/><Relationship Id="rId2" Type="http://schemas.openxmlformats.org/officeDocument/2006/relationships/hyperlink" Target="ITC_Three_Statement_DCF_Model.xlsx" TargetMode="External"/><Relationship Id="rId3" Type="http://schemas.openxmlformats.org/officeDocument/2006/relationships/hyperlink" Target="ITC_Three_Statement_DCF_Model.xlsx" TargetMode="External"/><Relationship Id="rId4" Type="http://schemas.openxmlformats.org/officeDocument/2006/relationships/hyperlink" Target="ITC_Three_Statement_DCF_Model.xlsx" TargetMode="External"/><Relationship Id="rId5" Type="http://schemas.openxmlformats.org/officeDocument/2006/relationships/hyperlink" Target="ITC_Three_Statement_DCF_Model.xlsx" TargetMode="External"/><Relationship Id="rId6" Type="http://schemas.openxmlformats.org/officeDocument/2006/relationships/hyperlink" Target="ITC_Three_Statement_DCF_Model.xlsx" TargetMode="External"/><Relationship Id="rId7" Type="http://schemas.openxmlformats.org/officeDocument/2006/relationships/hyperlink" Target="ITC_Three_Statement_DCF_Model.xlsx" TargetMode="External"/><Relationship Id="rId8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2:M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1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13" min="4" style="0" width="11.5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tr">
        <f aca="false">Inputs!$D$5&amp;"  |  "&amp;Inputs!$D$6&amp;"  |  Active scenario: "&amp;Inputs!$D$9</f>
        <v>ITC Limited  |  INR crore (Rs cr)  |  Active scenario: Base</v>
      </c>
    </row>
    <row r="5" customFormat="false" ht="15" hidden="false" customHeight="false" outlineLevel="0" collapsed="false">
      <c r="A5" s="3" t="s">
        <v>1</v>
      </c>
      <c r="B5" s="4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customFormat="false" ht="15" hidden="false" customHeight="false" outlineLevel="0" collapsed="false">
      <c r="B6" s="6" t="s">
        <v>3</v>
      </c>
    </row>
    <row r="7" customFormat="false" ht="15" hidden="false" customHeight="false" outlineLevel="0" collapsed="false">
      <c r="B7" s="6" t="s">
        <v>4</v>
      </c>
    </row>
    <row r="8" customFormat="false" ht="15" hidden="false" customHeight="false" outlineLevel="0" collapsed="false">
      <c r="B8" s="6" t="s">
        <v>5</v>
      </c>
    </row>
    <row r="9" customFormat="false" ht="15" hidden="false" customHeight="false" outlineLevel="0" collapsed="false">
      <c r="B9" s="6" t="s">
        <v>6</v>
      </c>
    </row>
    <row r="10" customFormat="false" ht="15" hidden="false" customHeight="false" outlineLevel="0" collapsed="false">
      <c r="B10" s="6" t="s">
        <v>7</v>
      </c>
    </row>
    <row r="12" customFormat="false" ht="15" hidden="false" customHeight="false" outlineLevel="0" collapsed="false">
      <c r="A12" s="3" t="s">
        <v>1</v>
      </c>
      <c r="B12" s="4" t="s">
        <v>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15" hidden="false" customHeight="false" outlineLevel="0" collapsed="false">
      <c r="B13" s="6" t="s">
        <v>9</v>
      </c>
      <c r="D13" s="7" t="str">
        <f aca="false">Inputs!D9</f>
        <v>Base</v>
      </c>
    </row>
    <row r="14" customFormat="false" ht="15" hidden="false" customHeight="false" outlineLevel="0" collapsed="false">
      <c r="B14" s="6" t="s">
        <v>10</v>
      </c>
      <c r="D14" s="8" t="n">
        <f aca="false">(IS!M7/IS!H7)^(1/(IS!M5-IS!H5))-1</f>
        <v>0.0789842237961715</v>
      </c>
    </row>
    <row r="15" customFormat="false" ht="15" hidden="false" customHeight="false" outlineLevel="0" collapsed="false">
      <c r="B15" s="6" t="s">
        <v>11</v>
      </c>
      <c r="D15" s="8" t="n">
        <f aca="false">IS!M13/IS!M7</f>
        <v>0.333</v>
      </c>
    </row>
    <row r="16" customFormat="false" ht="15" hidden="false" customHeight="false" outlineLevel="0" collapsed="false">
      <c r="B16" s="6" t="s">
        <v>12</v>
      </c>
      <c r="D16" s="9" t="n">
        <f aca="false">IS!M21</f>
        <v>22.6889678285253</v>
      </c>
    </row>
    <row r="17" customFormat="false" ht="15" hidden="false" customHeight="false" outlineLevel="0" collapsed="false">
      <c r="B17" s="6" t="s">
        <v>13</v>
      </c>
      <c r="D17" s="8" t="n">
        <f aca="false">DCF!E21</f>
        <v>0.125421458914191</v>
      </c>
    </row>
    <row r="18" customFormat="false" ht="15" hidden="false" customHeight="false" outlineLevel="0" collapsed="false">
      <c r="B18" s="6" t="s">
        <v>14</v>
      </c>
      <c r="D18" s="10" t="n">
        <f aca="false">DCF!E41</f>
        <v>246137.063423009</v>
      </c>
    </row>
    <row r="19" customFormat="false" ht="15" hidden="false" customHeight="false" outlineLevel="0" collapsed="false">
      <c r="B19" s="6" t="s">
        <v>15</v>
      </c>
      <c r="D19" s="10" t="n">
        <f aca="false">DCF!E44</f>
        <v>283737.063423009</v>
      </c>
    </row>
    <row r="20" customFormat="false" ht="15" hidden="false" customHeight="false" outlineLevel="0" collapsed="false">
      <c r="B20" s="6" t="s">
        <v>16</v>
      </c>
      <c r="D20" s="9" t="n">
        <f aca="false">DCF!E46</f>
        <v>226.808204175067</v>
      </c>
    </row>
    <row r="21" customFormat="false" ht="15" hidden="false" customHeight="false" outlineLevel="0" collapsed="false">
      <c r="B21" s="6" t="s">
        <v>17</v>
      </c>
      <c r="D21" s="8" t="n">
        <f aca="false">DCF!E49</f>
        <v>-0.150172329179071</v>
      </c>
    </row>
    <row r="22" customFormat="false" ht="15" hidden="false" customHeight="false" outlineLevel="0" collapsed="false">
      <c r="B22" s="6" t="s">
        <v>18</v>
      </c>
      <c r="D22" s="7" t="str">
        <f aca="false">Checks!D16</f>
        <v>ALL PASS</v>
      </c>
    </row>
    <row r="24" customFormat="false" ht="15" hidden="false" customHeight="false" outlineLevel="0" collapsed="false">
      <c r="A24" s="3" t="s">
        <v>1</v>
      </c>
      <c r="B24" s="4" t="s">
        <v>19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5" hidden="false" customHeight="false" outlineLevel="0" collapsed="false">
      <c r="B25" s="11" t="s">
        <v>20</v>
      </c>
      <c r="D25" s="6" t="s">
        <v>21</v>
      </c>
    </row>
    <row r="26" customFormat="false" ht="15" hidden="false" customHeight="false" outlineLevel="0" collapsed="false">
      <c r="B26" s="11" t="s">
        <v>22</v>
      </c>
      <c r="D26" s="6" t="s">
        <v>23</v>
      </c>
    </row>
    <row r="27" customFormat="false" ht="15" hidden="false" customHeight="false" outlineLevel="0" collapsed="false">
      <c r="B27" s="11" t="s">
        <v>24</v>
      </c>
      <c r="D27" s="6" t="s">
        <v>25</v>
      </c>
    </row>
    <row r="28" customFormat="false" ht="15" hidden="false" customHeight="false" outlineLevel="0" collapsed="false">
      <c r="B28" s="11" t="s">
        <v>26</v>
      </c>
      <c r="D28" s="6" t="s">
        <v>27</v>
      </c>
    </row>
    <row r="29" customFormat="false" ht="15" hidden="false" customHeight="false" outlineLevel="0" collapsed="false">
      <c r="B29" s="11" t="s">
        <v>28</v>
      </c>
      <c r="D29" s="6" t="s">
        <v>29</v>
      </c>
    </row>
    <row r="30" customFormat="false" ht="15" hidden="false" customHeight="false" outlineLevel="0" collapsed="false">
      <c r="B30" s="11" t="s">
        <v>30</v>
      </c>
      <c r="D30" s="6" t="s">
        <v>31</v>
      </c>
    </row>
    <row r="31" customFormat="false" ht="15" hidden="false" customHeight="false" outlineLevel="0" collapsed="false">
      <c r="B31" s="11" t="s">
        <v>32</v>
      </c>
      <c r="D31" s="6" t="s">
        <v>33</v>
      </c>
    </row>
    <row r="33" customFormat="false" ht="15" hidden="false" customHeight="false" outlineLevel="0" collapsed="false">
      <c r="A33" s="3" t="s">
        <v>1</v>
      </c>
      <c r="B33" s="4" t="s">
        <v>34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customFormat="false" ht="15" hidden="false" customHeight="false" outlineLevel="0" collapsed="false">
      <c r="B34" s="6" t="s">
        <v>35</v>
      </c>
    </row>
    <row r="35" customFormat="false" ht="15" hidden="false" customHeight="false" outlineLevel="0" collapsed="false">
      <c r="B35" s="6" t="s">
        <v>36</v>
      </c>
    </row>
    <row r="36" customFormat="false" ht="15" hidden="false" customHeight="false" outlineLevel="0" collapsed="false">
      <c r="B36" s="6" t="s">
        <v>37</v>
      </c>
    </row>
    <row r="37" customFormat="false" ht="15" hidden="false" customHeight="false" outlineLevel="0" collapsed="false">
      <c r="B37" s="6" t="s">
        <v>38</v>
      </c>
    </row>
    <row r="38" customFormat="false" ht="15" hidden="false" customHeight="false" outlineLevel="0" collapsed="false">
      <c r="B38" s="6" t="s">
        <v>39</v>
      </c>
    </row>
    <row r="40" customFormat="false" ht="15" hidden="false" customHeight="false" outlineLevel="0" collapsed="false">
      <c r="A40" s="3" t="s">
        <v>1</v>
      </c>
      <c r="B40" s="4" t="s">
        <v>40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15" hidden="false" customHeight="false" outlineLevel="0" collapsed="false">
      <c r="B41" s="12" t="s">
        <v>41</v>
      </c>
    </row>
    <row r="42" customFormat="false" ht="15" hidden="false" customHeight="false" outlineLevel="0" collapsed="false">
      <c r="B42" s="12" t="s">
        <v>42</v>
      </c>
    </row>
    <row r="44" customFormat="false" ht="15" hidden="false" customHeight="false" outlineLevel="0" collapsed="false">
      <c r="A44" s="3" t="s">
        <v>1</v>
      </c>
      <c r="B44" s="4" t="s">
        <v>43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customFormat="false" ht="15" hidden="false" customHeight="false" outlineLevel="0" collapsed="false">
      <c r="B45" s="13" t="s">
        <v>44</v>
      </c>
      <c r="D45" s="14" t="n">
        <f aca="false">IS!D5</f>
        <v>2021</v>
      </c>
      <c r="E45" s="14" t="n">
        <f aca="false">IS!E5</f>
        <v>2022</v>
      </c>
      <c r="F45" s="14" t="n">
        <f aca="false">IS!F5</f>
        <v>2023</v>
      </c>
      <c r="G45" s="14" t="n">
        <f aca="false">IS!G5</f>
        <v>2024</v>
      </c>
      <c r="H45" s="14" t="n">
        <f aca="false">IS!H5</f>
        <v>2025</v>
      </c>
      <c r="I45" s="15" t="n">
        <f aca="false">IS!I5</f>
        <v>2026</v>
      </c>
      <c r="J45" s="15" t="n">
        <f aca="false">IS!J5</f>
        <v>2027</v>
      </c>
      <c r="K45" s="15" t="n">
        <f aca="false">IS!K5</f>
        <v>2028</v>
      </c>
      <c r="L45" s="15" t="n">
        <f aca="false">IS!L5</f>
        <v>2029</v>
      </c>
      <c r="M45" s="15" t="n">
        <f aca="false">IS!M5</f>
        <v>2030</v>
      </c>
    </row>
    <row r="46" customFormat="false" ht="15" hidden="false" customHeight="false" outlineLevel="0" collapsed="false">
      <c r="B46" s="6" t="s">
        <v>45</v>
      </c>
      <c r="D46" s="16" t="n">
        <f aca="false">IS!D7</f>
        <v>48168</v>
      </c>
      <c r="E46" s="16" t="n">
        <f aca="false">IS!E7</f>
        <v>59101</v>
      </c>
      <c r="F46" s="16" t="n">
        <f aca="false">IS!F7</f>
        <v>69446</v>
      </c>
      <c r="G46" s="16" t="n">
        <f aca="false">IS!G7</f>
        <v>70867</v>
      </c>
      <c r="H46" s="16" t="n">
        <f aca="false">IS!H7</f>
        <v>73465</v>
      </c>
      <c r="I46" s="16" t="n">
        <f aca="false">IS!I7</f>
        <v>79709.525</v>
      </c>
      <c r="J46" s="16" t="n">
        <f aca="false">IS!J7</f>
        <v>86484.834625</v>
      </c>
      <c r="K46" s="16" t="n">
        <f aca="false">IS!K7</f>
        <v>93403.621395</v>
      </c>
      <c r="L46" s="16" t="n">
        <f aca="false">IS!L7</f>
        <v>100408.892999625</v>
      </c>
      <c r="M46" s="16" t="n">
        <f aca="false">IS!M7</f>
        <v>107437.515509599</v>
      </c>
    </row>
    <row r="47" customFormat="false" ht="15" hidden="false" customHeight="false" outlineLevel="0" collapsed="false">
      <c r="B47" s="6" t="s">
        <v>46</v>
      </c>
      <c r="D47" s="16" t="n">
        <f aca="false">IS!D13</f>
        <v>15330</v>
      </c>
      <c r="E47" s="16" t="n">
        <f aca="false">IS!E13</f>
        <v>18934</v>
      </c>
      <c r="F47" s="16" t="n">
        <f aca="false">IS!F13</f>
        <v>22470</v>
      </c>
      <c r="G47" s="16" t="n">
        <f aca="false">IS!G13</f>
        <v>23050</v>
      </c>
      <c r="H47" s="16" t="n">
        <f aca="false">IS!H13</f>
        <v>24025</v>
      </c>
      <c r="I47" s="16" t="n">
        <f aca="false">IS!I13</f>
        <v>26144.7242</v>
      </c>
      <c r="J47" s="16" t="n">
        <f aca="false">IS!J13</f>
        <v>28453.510591625</v>
      </c>
      <c r="K47" s="16" t="n">
        <f aca="false">IS!K13</f>
        <v>31010.00230314</v>
      </c>
      <c r="L47" s="16" t="n">
        <f aca="false">IS!L13</f>
        <v>33436.1613688751</v>
      </c>
      <c r="M47" s="16" t="n">
        <f aca="false">IS!M13</f>
        <v>35776.6926646964</v>
      </c>
    </row>
    <row r="48" customFormat="false" ht="15" hidden="false" customHeight="false" outlineLevel="0" collapsed="false">
      <c r="B48" s="6" t="s">
        <v>47</v>
      </c>
      <c r="D48" s="17" t="n">
        <f aca="false">IS!D13/IS!D7</f>
        <v>0.318261086198306</v>
      </c>
      <c r="E48" s="17" t="n">
        <f aca="false">IS!E13/IS!E7</f>
        <v>0.320366829664473</v>
      </c>
      <c r="F48" s="17" t="n">
        <f aca="false">IS!F13/IS!F7</f>
        <v>0.32356075223915</v>
      </c>
      <c r="G48" s="17" t="n">
        <f aca="false">IS!G13/IS!G7</f>
        <v>0.325257171885363</v>
      </c>
      <c r="H48" s="17" t="n">
        <f aca="false">IS!H13/IS!H7</f>
        <v>0.327026475192268</v>
      </c>
      <c r="I48" s="17" t="n">
        <f aca="false">IS!I13/IS!I7</f>
        <v>0.328</v>
      </c>
      <c r="J48" s="17" t="n">
        <f aca="false">IS!J13/IS!J7</f>
        <v>0.329</v>
      </c>
      <c r="K48" s="17" t="n">
        <f aca="false">IS!K13/IS!K7</f>
        <v>0.332</v>
      </c>
      <c r="L48" s="17" t="n">
        <f aca="false">IS!L13/IS!L7</f>
        <v>0.333</v>
      </c>
      <c r="M48" s="17" t="n">
        <f aca="false">IS!M13/IS!M7</f>
        <v>0.333</v>
      </c>
    </row>
  </sheetData>
  <conditionalFormatting sqref="D22">
    <cfRule type="cellIs" priority="2" operator="equal" aboveAverage="0" equalAverage="0" bottom="0" percent="0" rank="0" text="" dxfId="0">
      <formula>"ALL PASS"</formula>
    </cfRule>
    <cfRule type="cellIs" priority="3" operator="equal" aboveAverage="0" equalAverage="0" bottom="0" percent="0" rank="0" text="" dxfId="1">
      <formula>"REVIEW"</formula>
    </cfRule>
  </conditionalFormatting>
  <hyperlinks>
    <hyperlink ref="B25" r:id="rId1" location="'Inputs'!A1" display="Inputs"/>
    <hyperlink ref="B26" r:id="rId2" location="'IS'!A1" display="IS"/>
    <hyperlink ref="B27" r:id="rId3" location="'BS'!A1" display="BS"/>
    <hyperlink ref="B28" r:id="rId4" location="'CF'!A1" display="CF"/>
    <hyperlink ref="B29" r:id="rId5" location="'Ratios'!A1" display="Ratios"/>
    <hyperlink ref="B30" r:id="rId6" location="'DCF'!A1" display="DCF"/>
    <hyperlink ref="B31" r:id="rId7" location="'Checks'!A1" display="Check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true"/>
  </sheetPr>
  <dimension ref="A2:O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1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13" min="4" style="0" width="11.5"/>
  </cols>
  <sheetData>
    <row r="2" customFormat="false" ht="19.7" hidden="false" customHeight="false" outlineLevel="0" collapsed="false">
      <c r="B2" s="18" t="s">
        <v>48</v>
      </c>
    </row>
    <row r="3" customFormat="false" ht="15" hidden="false" customHeight="false" outlineLevel="0" collapsed="false">
      <c r="B3" s="2" t="s">
        <v>49</v>
      </c>
    </row>
    <row r="4" customFormat="false" ht="15" hidden="false" customHeight="false" outlineLevel="0" collapsed="false">
      <c r="A4" s="3" t="s">
        <v>1</v>
      </c>
      <c r="B4" s="4" t="s">
        <v>50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15" hidden="false" customHeight="false" outlineLevel="0" collapsed="false">
      <c r="B5" s="6" t="s">
        <v>51</v>
      </c>
      <c r="C5" s="19"/>
      <c r="D5" s="20" t="s">
        <v>52</v>
      </c>
      <c r="O5" s="2" t="s">
        <v>53</v>
      </c>
    </row>
    <row r="6" customFormat="false" ht="15" hidden="false" customHeight="false" outlineLevel="0" collapsed="false">
      <c r="B6" s="6" t="s">
        <v>54</v>
      </c>
      <c r="C6" s="19"/>
      <c r="D6" s="21" t="s">
        <v>55</v>
      </c>
      <c r="O6" s="2" t="s">
        <v>56</v>
      </c>
    </row>
    <row r="7" customFormat="false" ht="15" hidden="false" customHeight="false" outlineLevel="0" collapsed="false">
      <c r="B7" s="6" t="s">
        <v>57</v>
      </c>
      <c r="C7" s="19"/>
      <c r="D7" s="22" t="n">
        <v>2021</v>
      </c>
      <c r="O7" s="2" t="s">
        <v>58</v>
      </c>
    </row>
    <row r="8" customFormat="false" ht="15" hidden="false" customHeight="false" outlineLevel="0" collapsed="false">
      <c r="B8" s="6" t="s">
        <v>59</v>
      </c>
      <c r="C8" s="19"/>
      <c r="D8" s="23" t="n">
        <v>1</v>
      </c>
      <c r="O8" s="2" t="s">
        <v>60</v>
      </c>
    </row>
    <row r="9" customFormat="false" ht="15" hidden="false" customHeight="false" outlineLevel="0" collapsed="false">
      <c r="B9" s="6" t="s">
        <v>9</v>
      </c>
      <c r="C9" s="19"/>
      <c r="D9" s="24" t="str">
        <f aca="false">CHOOSE(D8,"Base","Bull","Bear")</f>
        <v>Base</v>
      </c>
      <c r="O9" s="2"/>
    </row>
    <row r="10" customFormat="false" ht="15" hidden="false" customHeight="false" outlineLevel="0" collapsed="false">
      <c r="B10" s="6" t="s">
        <v>61</v>
      </c>
      <c r="C10" s="19"/>
      <c r="D10" s="25" t="n">
        <v>0.2517</v>
      </c>
      <c r="O10" s="2" t="s">
        <v>62</v>
      </c>
    </row>
    <row r="11" customFormat="false" ht="15" hidden="false" customHeight="false" outlineLevel="0" collapsed="false">
      <c r="B11" s="6" t="s">
        <v>63</v>
      </c>
      <c r="C11" s="19"/>
      <c r="D11" s="26" t="n">
        <v>1251</v>
      </c>
      <c r="O11" s="2" t="s">
        <v>64</v>
      </c>
    </row>
    <row r="12" customFormat="false" ht="15" hidden="false" customHeight="false" outlineLevel="0" collapsed="false">
      <c r="B12" s="6" t="s">
        <v>65</v>
      </c>
      <c r="C12" s="19"/>
      <c r="D12" s="27" t="n">
        <v>45747</v>
      </c>
      <c r="O12" s="2" t="s">
        <v>66</v>
      </c>
    </row>
    <row r="13" customFormat="false" ht="15" hidden="false" customHeight="false" outlineLevel="0" collapsed="false">
      <c r="B13" s="6" t="s">
        <v>67</v>
      </c>
      <c r="C13" s="19"/>
      <c r="D13" s="26" t="n">
        <v>333876</v>
      </c>
      <c r="O13" s="2" t="s">
        <v>68</v>
      </c>
    </row>
    <row r="14" customFormat="false" ht="15" hidden="false" customHeight="false" outlineLevel="0" collapsed="false">
      <c r="B14" s="6" t="s">
        <v>69</v>
      </c>
      <c r="C14" s="19"/>
      <c r="D14" s="25" t="n">
        <v>0.85</v>
      </c>
      <c r="O14" s="2" t="s">
        <v>70</v>
      </c>
    </row>
    <row r="16" customFormat="false" ht="15" hidden="false" customHeight="false" outlineLevel="0" collapsed="false">
      <c r="A16" s="3" t="s">
        <v>1</v>
      </c>
      <c r="B16" s="4" t="s">
        <v>71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customFormat="false" ht="15" hidden="false" customHeight="false" outlineLevel="0" collapsed="false">
      <c r="B17" s="28" t="s">
        <v>72</v>
      </c>
      <c r="C17" s="29" t="s">
        <v>73</v>
      </c>
      <c r="D17" s="30" t="n">
        <f aca="false">D7</f>
        <v>2021</v>
      </c>
      <c r="E17" s="30" t="n">
        <f aca="false">D17+1</f>
        <v>2022</v>
      </c>
      <c r="F17" s="30" t="n">
        <f aca="false">E17+1</f>
        <v>2023</v>
      </c>
      <c r="G17" s="30" t="n">
        <f aca="false">F17+1</f>
        <v>2024</v>
      </c>
      <c r="H17" s="30" t="n">
        <f aca="false">G17+1</f>
        <v>2025</v>
      </c>
      <c r="I17" s="31" t="n">
        <f aca="false">H17+1</f>
        <v>2026</v>
      </c>
      <c r="J17" s="31" t="n">
        <f aca="false">I17+1</f>
        <v>2027</v>
      </c>
      <c r="K17" s="31" t="n">
        <f aca="false">J17+1</f>
        <v>2028</v>
      </c>
      <c r="L17" s="31" t="n">
        <f aca="false">K17+1</f>
        <v>2029</v>
      </c>
      <c r="M17" s="31" t="n">
        <f aca="false">L17+1</f>
        <v>2030</v>
      </c>
    </row>
    <row r="18" customFormat="false" ht="15" hidden="false" customHeight="false" outlineLevel="0" collapsed="false">
      <c r="A18" s="3" t="s">
        <v>1</v>
      </c>
      <c r="B18" s="4" t="s">
        <v>74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B19" s="6" t="s">
        <v>75</v>
      </c>
      <c r="C19" s="19" t="s">
        <v>76</v>
      </c>
      <c r="D19" s="32" t="n">
        <v>48168</v>
      </c>
      <c r="E19" s="32" t="n">
        <v>59101</v>
      </c>
      <c r="F19" s="32" t="n">
        <v>69446</v>
      </c>
      <c r="G19" s="32" t="n">
        <v>70867</v>
      </c>
      <c r="H19" s="32" t="n">
        <v>73465</v>
      </c>
      <c r="O19" s="2" t="s">
        <v>77</v>
      </c>
    </row>
    <row r="20" customFormat="false" ht="15" hidden="false" customHeight="false" outlineLevel="0" collapsed="false">
      <c r="B20" s="6" t="s">
        <v>78</v>
      </c>
      <c r="C20" s="19" t="s">
        <v>76</v>
      </c>
      <c r="D20" s="32" t="n">
        <v>22735</v>
      </c>
      <c r="E20" s="32" t="n">
        <v>27541</v>
      </c>
      <c r="F20" s="32" t="n">
        <v>32153</v>
      </c>
      <c r="G20" s="32" t="n">
        <v>32670</v>
      </c>
      <c r="H20" s="32" t="n">
        <v>33720</v>
      </c>
      <c r="O20" s="2" t="s">
        <v>79</v>
      </c>
    </row>
    <row r="21" customFormat="false" ht="15" hidden="false" customHeight="false" outlineLevel="0" collapsed="false">
      <c r="B21" s="6" t="s">
        <v>80</v>
      </c>
      <c r="C21" s="19" t="s">
        <v>76</v>
      </c>
      <c r="D21" s="32" t="n">
        <v>2697</v>
      </c>
      <c r="E21" s="32" t="n">
        <v>3132</v>
      </c>
      <c r="F21" s="32" t="n">
        <v>3403</v>
      </c>
      <c r="G21" s="32" t="n">
        <v>3402</v>
      </c>
      <c r="H21" s="32" t="n">
        <v>3453</v>
      </c>
      <c r="O21" s="2" t="s">
        <v>81</v>
      </c>
    </row>
    <row r="22" customFormat="false" ht="15" hidden="false" customHeight="false" outlineLevel="0" collapsed="false">
      <c r="B22" s="6" t="s">
        <v>82</v>
      </c>
      <c r="C22" s="19" t="s">
        <v>76</v>
      </c>
      <c r="D22" s="32" t="n">
        <v>7406</v>
      </c>
      <c r="E22" s="32" t="n">
        <v>9494</v>
      </c>
      <c r="F22" s="32" t="n">
        <v>11420</v>
      </c>
      <c r="G22" s="32" t="n">
        <v>11745</v>
      </c>
      <c r="H22" s="32" t="n">
        <v>12267</v>
      </c>
      <c r="O22" s="2" t="s">
        <v>83</v>
      </c>
    </row>
    <row r="23" customFormat="false" ht="15" hidden="false" customHeight="false" outlineLevel="0" collapsed="false">
      <c r="B23" s="6" t="s">
        <v>84</v>
      </c>
      <c r="C23" s="19" t="s">
        <v>76</v>
      </c>
      <c r="D23" s="32" t="n">
        <v>1450</v>
      </c>
      <c r="E23" s="32" t="n">
        <v>1650</v>
      </c>
      <c r="F23" s="32" t="n">
        <v>1650</v>
      </c>
      <c r="G23" s="32" t="n">
        <v>1700</v>
      </c>
      <c r="H23" s="32" t="n">
        <v>1750</v>
      </c>
      <c r="O23" s="2" t="s">
        <v>81</v>
      </c>
    </row>
    <row r="24" customFormat="false" ht="15" hidden="false" customHeight="false" outlineLevel="0" collapsed="false">
      <c r="B24" s="6" t="s">
        <v>85</v>
      </c>
      <c r="C24" s="19" t="s">
        <v>76</v>
      </c>
      <c r="D24" s="32" t="n">
        <v>2800</v>
      </c>
      <c r="E24" s="32" t="n">
        <v>2600</v>
      </c>
      <c r="F24" s="32" t="n">
        <v>3100</v>
      </c>
      <c r="G24" s="32" t="n">
        <v>3500</v>
      </c>
      <c r="H24" s="32" t="n">
        <v>3786</v>
      </c>
      <c r="O24" s="2" t="s">
        <v>86</v>
      </c>
    </row>
    <row r="25" customFormat="false" ht="15" hidden="false" customHeight="false" outlineLevel="0" collapsed="false">
      <c r="B25" s="6" t="s">
        <v>87</v>
      </c>
      <c r="C25" s="19" t="s">
        <v>76</v>
      </c>
      <c r="D25" s="32" t="n">
        <v>70</v>
      </c>
      <c r="E25" s="32" t="n">
        <v>55</v>
      </c>
      <c r="F25" s="32" t="n">
        <v>50</v>
      </c>
      <c r="G25" s="32" t="n">
        <v>55</v>
      </c>
      <c r="H25" s="32" t="n">
        <v>60</v>
      </c>
      <c r="O25" s="2" t="s">
        <v>81</v>
      </c>
    </row>
    <row r="26" customFormat="false" ht="15" hidden="false" customHeight="false" outlineLevel="0" collapsed="false">
      <c r="B26" s="6" t="s">
        <v>88</v>
      </c>
      <c r="C26" s="19" t="s">
        <v>89</v>
      </c>
      <c r="D26" s="33" t="n">
        <v>0.245</v>
      </c>
      <c r="E26" s="33" t="n">
        <v>0.2406</v>
      </c>
      <c r="F26" s="33" t="n">
        <v>0.245</v>
      </c>
      <c r="G26" s="33" t="n">
        <v>0.245</v>
      </c>
      <c r="H26" s="33" t="n">
        <v>0.245</v>
      </c>
      <c r="O26" s="2" t="s">
        <v>90</v>
      </c>
    </row>
    <row r="28" customFormat="false" ht="15" hidden="false" customHeight="false" outlineLevel="0" collapsed="false">
      <c r="A28" s="3" t="s">
        <v>1</v>
      </c>
      <c r="B28" s="4" t="s">
        <v>91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30" customFormat="false" ht="15" hidden="false" customHeight="false" outlineLevel="0" collapsed="false">
      <c r="B30" s="6" t="s">
        <v>92</v>
      </c>
      <c r="C30" s="19" t="s">
        <v>89</v>
      </c>
      <c r="I30" s="34" t="n">
        <v>0.085</v>
      </c>
      <c r="J30" s="34" t="n">
        <v>0.085</v>
      </c>
      <c r="K30" s="34" t="n">
        <v>0.08</v>
      </c>
      <c r="L30" s="34" t="n">
        <v>0.075</v>
      </c>
      <c r="M30" s="34" t="n">
        <v>0.07</v>
      </c>
      <c r="O30" s="2" t="s">
        <v>93</v>
      </c>
    </row>
    <row r="31" customFormat="false" ht="15" hidden="false" customHeight="false" outlineLevel="0" collapsed="false">
      <c r="B31" s="6" t="s">
        <v>94</v>
      </c>
      <c r="C31" s="19" t="s">
        <v>89</v>
      </c>
      <c r="I31" s="34" t="n">
        <v>0.458</v>
      </c>
      <c r="J31" s="34" t="n">
        <v>0.457</v>
      </c>
      <c r="K31" s="34" t="n">
        <v>0.456</v>
      </c>
      <c r="L31" s="34" t="n">
        <v>0.455</v>
      </c>
      <c r="M31" s="34" t="n">
        <v>0.455</v>
      </c>
    </row>
    <row r="32" customFormat="false" ht="15" hidden="false" customHeight="false" outlineLevel="0" collapsed="false">
      <c r="B32" s="6" t="s">
        <v>95</v>
      </c>
      <c r="C32" s="19" t="s">
        <v>89</v>
      </c>
      <c r="I32" s="33" t="n">
        <v>0.047</v>
      </c>
      <c r="J32" s="33" t="n">
        <v>0.047</v>
      </c>
      <c r="K32" s="33" t="n">
        <v>0.046</v>
      </c>
      <c r="L32" s="33" t="n">
        <v>0.046</v>
      </c>
      <c r="M32" s="33" t="n">
        <v>0.046</v>
      </c>
    </row>
    <row r="33" customFormat="false" ht="15" hidden="false" customHeight="false" outlineLevel="0" collapsed="false">
      <c r="B33" s="6" t="s">
        <v>96</v>
      </c>
      <c r="C33" s="19" t="s">
        <v>89</v>
      </c>
      <c r="I33" s="33" t="n">
        <v>0.167</v>
      </c>
      <c r="J33" s="33" t="n">
        <v>0.167</v>
      </c>
      <c r="K33" s="33" t="n">
        <v>0.166</v>
      </c>
      <c r="L33" s="33" t="n">
        <v>0.166</v>
      </c>
      <c r="M33" s="33" t="n">
        <v>0.166</v>
      </c>
    </row>
    <row r="35" customFormat="false" ht="15" hidden="false" customHeight="false" outlineLevel="0" collapsed="false">
      <c r="A35" s="3" t="s">
        <v>1</v>
      </c>
      <c r="B35" s="4" t="s">
        <v>97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customFormat="false" ht="15" hidden="false" customHeight="false" outlineLevel="0" collapsed="false">
      <c r="D36" s="35" t="s">
        <v>98</v>
      </c>
      <c r="E36" s="35" t="s">
        <v>99</v>
      </c>
      <c r="F36" s="35" t="s">
        <v>100</v>
      </c>
    </row>
    <row r="37" customFormat="false" ht="15" hidden="false" customHeight="false" outlineLevel="0" collapsed="false">
      <c r="B37" s="6" t="s">
        <v>101</v>
      </c>
      <c r="C37" s="19" t="s">
        <v>102</v>
      </c>
      <c r="D37" s="34" t="n">
        <v>0</v>
      </c>
      <c r="E37" s="34" t="n">
        <v>0.02</v>
      </c>
      <c r="F37" s="34" t="n">
        <v>-0.03</v>
      </c>
    </row>
    <row r="38" customFormat="false" ht="15" hidden="false" customHeight="false" outlineLevel="0" collapsed="false">
      <c r="B38" s="6" t="s">
        <v>103</v>
      </c>
      <c r="C38" s="19" t="s">
        <v>102</v>
      </c>
      <c r="D38" s="34" t="n">
        <v>0</v>
      </c>
      <c r="E38" s="34" t="n">
        <v>-0.01</v>
      </c>
      <c r="F38" s="34" t="n">
        <v>0.015</v>
      </c>
    </row>
    <row r="40" customFormat="false" ht="15" hidden="false" customHeight="false" outlineLevel="0" collapsed="false">
      <c r="A40" s="3" t="s">
        <v>1</v>
      </c>
      <c r="B40" s="4" t="s">
        <v>104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customFormat="false" ht="15" hidden="false" customHeight="false" outlineLevel="0" collapsed="false">
      <c r="B41" s="6" t="s">
        <v>105</v>
      </c>
      <c r="C41" s="19" t="s">
        <v>89</v>
      </c>
      <c r="I41" s="36" t="n">
        <f aca="false">I30+INDEX($D$37:$F$37,$D$8)</f>
        <v>0.085</v>
      </c>
      <c r="J41" s="36" t="n">
        <f aca="false">J30+INDEX($D$37:$F$37,$D$8)</f>
        <v>0.085</v>
      </c>
      <c r="K41" s="36" t="n">
        <f aca="false">K30+INDEX($D$37:$F$37,$D$8)</f>
        <v>0.08</v>
      </c>
      <c r="L41" s="36" t="n">
        <f aca="false">L30+INDEX($D$37:$F$37,$D$8)</f>
        <v>0.075</v>
      </c>
      <c r="M41" s="36" t="n">
        <f aca="false">M30+INDEX($D$37:$F$37,$D$8)</f>
        <v>0.07</v>
      </c>
    </row>
    <row r="42" customFormat="false" ht="15" hidden="false" customHeight="false" outlineLevel="0" collapsed="false">
      <c r="B42" s="6" t="s">
        <v>106</v>
      </c>
      <c r="C42" s="19" t="s">
        <v>89</v>
      </c>
      <c r="I42" s="36" t="n">
        <f aca="false">I31+INDEX($D$38:$F$38,$D$8)</f>
        <v>0.458</v>
      </c>
      <c r="J42" s="36" t="n">
        <f aca="false">J31+INDEX($D$38:$F$38,$D$8)</f>
        <v>0.457</v>
      </c>
      <c r="K42" s="36" t="n">
        <f aca="false">K31+INDEX($D$38:$F$38,$D$8)</f>
        <v>0.456</v>
      </c>
      <c r="L42" s="36" t="n">
        <f aca="false">L31+INDEX($D$38:$F$38,$D$8)</f>
        <v>0.455</v>
      </c>
      <c r="M42" s="36" t="n">
        <f aca="false">M31+INDEX($D$38:$F$38,$D$8)</f>
        <v>0.455</v>
      </c>
    </row>
    <row r="44" customFormat="false" ht="15" hidden="false" customHeight="false" outlineLevel="0" collapsed="false">
      <c r="A44" s="3" t="s">
        <v>1</v>
      </c>
      <c r="B44" s="4" t="s">
        <v>107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customFormat="false" ht="15" hidden="false" customHeight="false" outlineLevel="0" collapsed="false">
      <c r="B45" s="6" t="s">
        <v>108</v>
      </c>
      <c r="C45" s="19" t="s">
        <v>89</v>
      </c>
      <c r="I45" s="33" t="n">
        <v>0.07</v>
      </c>
      <c r="J45" s="33" t="n">
        <v>0.07</v>
      </c>
      <c r="K45" s="33" t="n">
        <v>0.07</v>
      </c>
      <c r="L45" s="33" t="n">
        <v>0.07</v>
      </c>
      <c r="M45" s="33" t="n">
        <v>0.07</v>
      </c>
      <c r="O45" s="2" t="s">
        <v>109</v>
      </c>
    </row>
    <row r="46" customFormat="false" ht="15" hidden="false" customHeight="false" outlineLevel="0" collapsed="false">
      <c r="B46" s="6" t="s">
        <v>110</v>
      </c>
      <c r="C46" s="19" t="s">
        <v>89</v>
      </c>
      <c r="I46" s="33" t="n">
        <v>0.035</v>
      </c>
      <c r="J46" s="33" t="n">
        <v>0.035</v>
      </c>
      <c r="K46" s="33" t="n">
        <v>0.035</v>
      </c>
      <c r="L46" s="33" t="n">
        <v>0.035</v>
      </c>
      <c r="M46" s="33" t="n">
        <v>0.035</v>
      </c>
    </row>
    <row r="47" customFormat="false" ht="15" hidden="false" customHeight="false" outlineLevel="0" collapsed="false">
      <c r="B47" s="6" t="s">
        <v>111</v>
      </c>
      <c r="C47" s="19" t="s">
        <v>112</v>
      </c>
      <c r="I47" s="37" t="n">
        <v>18</v>
      </c>
      <c r="J47" s="37" t="n">
        <v>18</v>
      </c>
      <c r="K47" s="37" t="n">
        <v>18</v>
      </c>
      <c r="L47" s="37" t="n">
        <v>18</v>
      </c>
      <c r="M47" s="37" t="n">
        <v>18</v>
      </c>
    </row>
    <row r="48" customFormat="false" ht="15" hidden="false" customHeight="false" outlineLevel="0" collapsed="false">
      <c r="B48" s="6" t="s">
        <v>113</v>
      </c>
      <c r="C48" s="19" t="s">
        <v>112</v>
      </c>
      <c r="I48" s="37" t="n">
        <v>135</v>
      </c>
      <c r="J48" s="37" t="n">
        <v>135</v>
      </c>
      <c r="K48" s="37" t="n">
        <v>135</v>
      </c>
      <c r="L48" s="37" t="n">
        <v>135</v>
      </c>
      <c r="M48" s="37" t="n">
        <v>135</v>
      </c>
    </row>
    <row r="49" customFormat="false" ht="15" hidden="false" customHeight="false" outlineLevel="0" collapsed="false">
      <c r="B49" s="6" t="s">
        <v>114</v>
      </c>
      <c r="C49" s="19" t="s">
        <v>112</v>
      </c>
      <c r="I49" s="37" t="n">
        <v>70</v>
      </c>
      <c r="J49" s="37" t="n">
        <v>70</v>
      </c>
      <c r="K49" s="37" t="n">
        <v>70</v>
      </c>
      <c r="L49" s="37" t="n">
        <v>70</v>
      </c>
      <c r="M49" s="37" t="n">
        <v>70</v>
      </c>
    </row>
    <row r="50" customFormat="false" ht="15" hidden="false" customHeight="false" outlineLevel="0" collapsed="false">
      <c r="B50" s="6" t="s">
        <v>115</v>
      </c>
      <c r="C50" s="19" t="s">
        <v>89</v>
      </c>
      <c r="I50" s="33" t="n">
        <v>0.075</v>
      </c>
      <c r="J50" s="33" t="n">
        <v>0.075</v>
      </c>
      <c r="K50" s="33" t="n">
        <v>0.075</v>
      </c>
      <c r="L50" s="33" t="n">
        <v>0.075</v>
      </c>
      <c r="M50" s="33" t="n">
        <v>0.075</v>
      </c>
    </row>
    <row r="51" customFormat="false" ht="15" hidden="false" customHeight="false" outlineLevel="0" collapsed="false">
      <c r="B51" s="6" t="s">
        <v>116</v>
      </c>
      <c r="C51" s="19" t="s">
        <v>89</v>
      </c>
      <c r="I51" s="33" t="n">
        <v>0.123</v>
      </c>
      <c r="J51" s="33" t="n">
        <v>0.123</v>
      </c>
      <c r="K51" s="33" t="n">
        <v>0.123</v>
      </c>
      <c r="L51" s="33" t="n">
        <v>0.123</v>
      </c>
      <c r="M51" s="33" t="n">
        <v>0.123</v>
      </c>
    </row>
    <row r="52" customFormat="false" ht="15" hidden="false" customHeight="false" outlineLevel="0" collapsed="false">
      <c r="B52" s="6" t="s">
        <v>117</v>
      </c>
      <c r="C52" s="19" t="s">
        <v>89</v>
      </c>
      <c r="I52" s="33" t="n">
        <v>0.095</v>
      </c>
      <c r="J52" s="33" t="n">
        <v>0.095</v>
      </c>
      <c r="K52" s="33" t="n">
        <v>0.095</v>
      </c>
      <c r="L52" s="33" t="n">
        <v>0.095</v>
      </c>
      <c r="M52" s="33" t="n">
        <v>0.095</v>
      </c>
      <c r="O52" s="2" t="s">
        <v>118</v>
      </c>
    </row>
    <row r="53" customFormat="false" ht="15" hidden="false" customHeight="false" outlineLevel="0" collapsed="false">
      <c r="B53" s="6" t="s">
        <v>119</v>
      </c>
      <c r="C53" s="19" t="s">
        <v>89</v>
      </c>
      <c r="I53" s="33" t="n">
        <v>0.08</v>
      </c>
      <c r="J53" s="33" t="n">
        <v>0.08</v>
      </c>
      <c r="K53" s="33" t="n">
        <v>0.08</v>
      </c>
      <c r="L53" s="33" t="n">
        <v>0.08</v>
      </c>
      <c r="M53" s="33" t="n">
        <v>0.08</v>
      </c>
    </row>
    <row r="54" customFormat="false" ht="15" hidden="false" customHeight="false" outlineLevel="0" collapsed="false">
      <c r="B54" s="6" t="s">
        <v>120</v>
      </c>
      <c r="C54" s="19" t="s">
        <v>76</v>
      </c>
      <c r="I54" s="32" t="n">
        <v>100</v>
      </c>
      <c r="J54" s="32" t="n">
        <v>100</v>
      </c>
      <c r="K54" s="32" t="n">
        <v>100</v>
      </c>
      <c r="L54" s="32" t="n">
        <v>100</v>
      </c>
      <c r="M54" s="32" t="n">
        <v>100</v>
      </c>
    </row>
    <row r="57" customFormat="false" ht="15" hidden="false" customHeight="false" outlineLevel="0" collapsed="false">
      <c r="A57" s="3" t="s">
        <v>1</v>
      </c>
      <c r="B57" s="4" t="s">
        <v>121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customFormat="false" ht="15" hidden="false" customHeight="false" outlineLevel="0" collapsed="false">
      <c r="B58" s="6" t="s">
        <v>122</v>
      </c>
      <c r="C58" s="19" t="s">
        <v>76</v>
      </c>
      <c r="H58" s="38" t="n">
        <v>38000</v>
      </c>
      <c r="O58" s="39" t="s">
        <v>123</v>
      </c>
    </row>
    <row r="59" customFormat="false" ht="15" hidden="false" customHeight="false" outlineLevel="0" collapsed="false">
      <c r="B59" s="6" t="s">
        <v>124</v>
      </c>
      <c r="C59" s="19" t="s">
        <v>76</v>
      </c>
      <c r="H59" s="38" t="n">
        <v>24000</v>
      </c>
    </row>
    <row r="60" customFormat="false" ht="15" hidden="false" customHeight="false" outlineLevel="0" collapsed="false">
      <c r="B60" s="6" t="s">
        <v>125</v>
      </c>
      <c r="C60" s="19" t="s">
        <v>76</v>
      </c>
      <c r="H60" s="38" t="n">
        <v>6000</v>
      </c>
    </row>
    <row r="61" customFormat="false" ht="15" hidden="false" customHeight="false" outlineLevel="0" collapsed="false">
      <c r="B61" s="6" t="s">
        <v>126</v>
      </c>
      <c r="C61" s="19" t="s">
        <v>76</v>
      </c>
      <c r="H61" s="38" t="n">
        <v>12500</v>
      </c>
    </row>
    <row r="62" customFormat="false" ht="15" hidden="false" customHeight="false" outlineLevel="0" collapsed="false">
      <c r="B62" s="6" t="s">
        <v>127</v>
      </c>
      <c r="C62" s="19" t="s">
        <v>76</v>
      </c>
      <c r="H62" s="38" t="n">
        <v>3600</v>
      </c>
    </row>
    <row r="63" customFormat="false" ht="15" hidden="false" customHeight="false" outlineLevel="0" collapsed="false">
      <c r="B63" s="6" t="s">
        <v>128</v>
      </c>
      <c r="C63" s="19" t="s">
        <v>76</v>
      </c>
      <c r="H63" s="38" t="n">
        <v>5500</v>
      </c>
    </row>
    <row r="64" customFormat="false" ht="15" hidden="false" customHeight="false" outlineLevel="0" collapsed="false">
      <c r="B64" s="6" t="s">
        <v>129</v>
      </c>
      <c r="C64" s="19" t="s">
        <v>76</v>
      </c>
      <c r="H64" s="38" t="n">
        <v>6500</v>
      </c>
    </row>
    <row r="65" customFormat="false" ht="15" hidden="false" customHeight="false" outlineLevel="0" collapsed="false">
      <c r="B65" s="6" t="s">
        <v>130</v>
      </c>
      <c r="C65" s="19" t="s">
        <v>76</v>
      </c>
      <c r="H65" s="38" t="n">
        <v>9000</v>
      </c>
    </row>
    <row r="66" customFormat="false" ht="15" hidden="false" customHeight="false" outlineLevel="0" collapsed="false">
      <c r="B66" s="6" t="s">
        <v>131</v>
      </c>
      <c r="C66" s="19" t="s">
        <v>76</v>
      </c>
      <c r="H66" s="38" t="n">
        <v>400</v>
      </c>
    </row>
    <row r="67" customFormat="false" ht="15" hidden="false" customHeight="false" outlineLevel="0" collapsed="false">
      <c r="B67" s="6" t="s">
        <v>132</v>
      </c>
      <c r="C67" s="19" t="s">
        <v>76</v>
      </c>
      <c r="H67" s="38" t="n">
        <v>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2:M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1.1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13" min="4" style="0" width="11.5"/>
  </cols>
  <sheetData>
    <row r="2" customFormat="false" ht="19.7" hidden="false" customHeight="false" outlineLevel="0" collapsed="false">
      <c r="B2" s="18" t="str">
        <f aca="false">"Income Statement - "&amp;Inputs!$D$5</f>
        <v>Income Statement - ITC Limited</v>
      </c>
    </row>
    <row r="3" customFormat="false" ht="15" hidden="false" customHeight="false" outlineLevel="0" collapsed="false">
      <c r="B3" s="2" t="str">
        <f aca="false">Inputs!$D$6&amp;"  |  Scenario: "&amp;Inputs!$D$9</f>
        <v>INR crore (Rs cr)  |  Scenario: Base</v>
      </c>
    </row>
    <row r="5" customFormat="false" ht="15" hidden="false" customHeight="false" outlineLevel="0" collapsed="false">
      <c r="B5" s="28" t="s">
        <v>72</v>
      </c>
      <c r="C5" s="29" t="s">
        <v>73</v>
      </c>
      <c r="D5" s="30" t="n">
        <f aca="false">Inputs!$D$7</f>
        <v>2021</v>
      </c>
      <c r="E5" s="30" t="n">
        <f aca="false">D5+1</f>
        <v>2022</v>
      </c>
      <c r="F5" s="30" t="n">
        <f aca="false">E5+1</f>
        <v>2023</v>
      </c>
      <c r="G5" s="30" t="n">
        <f aca="false">F5+1</f>
        <v>2024</v>
      </c>
      <c r="H5" s="30" t="n">
        <f aca="false">G5+1</f>
        <v>2025</v>
      </c>
      <c r="I5" s="31" t="n">
        <f aca="false">H5+1</f>
        <v>2026</v>
      </c>
      <c r="J5" s="31" t="n">
        <f aca="false">I5+1</f>
        <v>2027</v>
      </c>
      <c r="K5" s="31" t="n">
        <f aca="false">J5+1</f>
        <v>2028</v>
      </c>
      <c r="L5" s="31" t="n">
        <f aca="false">K5+1</f>
        <v>2029</v>
      </c>
      <c r="M5" s="31" t="n">
        <f aca="false">L5+1</f>
        <v>2030</v>
      </c>
    </row>
    <row r="6" customFormat="false" ht="15" hidden="false" customHeight="false" outlineLevel="0" collapsed="false">
      <c r="A6" s="3" t="s">
        <v>1</v>
      </c>
      <c r="B6" s="4" t="s">
        <v>133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false" outlineLevel="0" collapsed="false">
      <c r="B7" s="13" t="s">
        <v>134</v>
      </c>
      <c r="C7" s="19" t="s">
        <v>76</v>
      </c>
      <c r="D7" s="16" t="n">
        <f aca="false">Inputs!D19</f>
        <v>48168</v>
      </c>
      <c r="E7" s="16" t="n">
        <f aca="false">Inputs!E19</f>
        <v>59101</v>
      </c>
      <c r="F7" s="16" t="n">
        <f aca="false">Inputs!F19</f>
        <v>69446</v>
      </c>
      <c r="G7" s="16" t="n">
        <f aca="false">Inputs!G19</f>
        <v>70867</v>
      </c>
      <c r="H7" s="16" t="n">
        <f aca="false">Inputs!H19</f>
        <v>73465</v>
      </c>
      <c r="I7" s="16" t="n">
        <f aca="false">H7*(1+Inputs!I41)</f>
        <v>79709.525</v>
      </c>
      <c r="J7" s="16" t="n">
        <f aca="false">I7*(1+Inputs!J41)</f>
        <v>86484.834625</v>
      </c>
      <c r="K7" s="16" t="n">
        <f aca="false">J7*(1+Inputs!K41)</f>
        <v>93403.621395</v>
      </c>
      <c r="L7" s="16" t="n">
        <f aca="false">K7*(1+Inputs!L41)</f>
        <v>100408.892999625</v>
      </c>
      <c r="M7" s="16" t="n">
        <f aca="false">L7*(1+Inputs!M41)</f>
        <v>107437.515509599</v>
      </c>
    </row>
    <row r="8" customFormat="false" ht="15" hidden="false" customHeight="false" outlineLevel="0" collapsed="false">
      <c r="B8" s="6" t="s">
        <v>135</v>
      </c>
      <c r="C8" s="19" t="s">
        <v>89</v>
      </c>
      <c r="E8" s="40" t="n">
        <f aca="false">E7/D7-1</f>
        <v>0.226976415877761</v>
      </c>
      <c r="F8" s="40" t="n">
        <f aca="false">F7/E7-1</f>
        <v>0.175039339435881</v>
      </c>
      <c r="G8" s="40" t="n">
        <f aca="false">G7/F7-1</f>
        <v>0.0204619416525069</v>
      </c>
      <c r="H8" s="40" t="n">
        <f aca="false">H7/G7-1</f>
        <v>0.0366602226706365</v>
      </c>
      <c r="I8" s="40" t="n">
        <f aca="false">I7/H7-1</f>
        <v>0.085</v>
      </c>
      <c r="J8" s="40" t="n">
        <f aca="false">J7/I7-1</f>
        <v>0.085</v>
      </c>
      <c r="K8" s="40" t="n">
        <f aca="false">K7/J7-1</f>
        <v>0.0800000000000001</v>
      </c>
      <c r="L8" s="40" t="n">
        <f aca="false">L7/K7-1</f>
        <v>0.075</v>
      </c>
      <c r="M8" s="40" t="n">
        <f aca="false">M7/L7-1</f>
        <v>0.0700000000000001</v>
      </c>
    </row>
    <row r="9" customFormat="false" ht="15" hidden="false" customHeight="false" outlineLevel="0" collapsed="false">
      <c r="B9" s="6" t="s">
        <v>78</v>
      </c>
      <c r="C9" s="19" t="s">
        <v>76</v>
      </c>
      <c r="D9" s="16" t="n">
        <f aca="false">Inputs!D20</f>
        <v>22735</v>
      </c>
      <c r="E9" s="16" t="n">
        <f aca="false">Inputs!E20</f>
        <v>27541</v>
      </c>
      <c r="F9" s="16" t="n">
        <f aca="false">Inputs!F20</f>
        <v>32153</v>
      </c>
      <c r="G9" s="16" t="n">
        <f aca="false">Inputs!G20</f>
        <v>32670</v>
      </c>
      <c r="H9" s="16" t="n">
        <f aca="false">Inputs!H20</f>
        <v>33720</v>
      </c>
      <c r="I9" s="16" t="n">
        <f aca="false">I7*Inputs!I42</f>
        <v>36506.96245</v>
      </c>
      <c r="J9" s="16" t="n">
        <f aca="false">J7*Inputs!J42</f>
        <v>39523.569423625</v>
      </c>
      <c r="K9" s="16" t="n">
        <f aca="false">K7*Inputs!K42</f>
        <v>42592.05135612</v>
      </c>
      <c r="L9" s="16" t="n">
        <f aca="false">L7*Inputs!L42</f>
        <v>45686.0463148294</v>
      </c>
      <c r="M9" s="16" t="n">
        <f aca="false">M7*Inputs!M42</f>
        <v>48884.0695568674</v>
      </c>
    </row>
    <row r="10" customFormat="false" ht="15" hidden="false" customHeight="false" outlineLevel="0" collapsed="false">
      <c r="B10" s="13" t="s">
        <v>136</v>
      </c>
      <c r="C10" s="19" t="s">
        <v>76</v>
      </c>
      <c r="D10" s="41" t="n">
        <f aca="false">D7-D9</f>
        <v>25433</v>
      </c>
      <c r="E10" s="41" t="n">
        <f aca="false">E7-E9</f>
        <v>31560</v>
      </c>
      <c r="F10" s="41" t="n">
        <f aca="false">F7-F9</f>
        <v>37293</v>
      </c>
      <c r="G10" s="41" t="n">
        <f aca="false">G7-G9</f>
        <v>38197</v>
      </c>
      <c r="H10" s="41" t="n">
        <f aca="false">H7-H9</f>
        <v>39745</v>
      </c>
      <c r="I10" s="41" t="n">
        <f aca="false">I7-I9</f>
        <v>43202.56255</v>
      </c>
      <c r="J10" s="41" t="n">
        <f aca="false">J7-J9</f>
        <v>46961.265201375</v>
      </c>
      <c r="K10" s="41" t="n">
        <f aca="false">K7-K9</f>
        <v>50811.57003888</v>
      </c>
      <c r="L10" s="41" t="n">
        <f aca="false">L7-L9</f>
        <v>54722.8466847956</v>
      </c>
      <c r="M10" s="41" t="n">
        <f aca="false">M7-M9</f>
        <v>58553.4459527313</v>
      </c>
    </row>
    <row r="11" customFormat="false" ht="15" hidden="false" customHeight="false" outlineLevel="0" collapsed="false">
      <c r="B11" s="6" t="s">
        <v>80</v>
      </c>
      <c r="C11" s="19" t="s">
        <v>76</v>
      </c>
      <c r="D11" s="16" t="n">
        <f aca="false">Inputs!D21</f>
        <v>2697</v>
      </c>
      <c r="E11" s="16" t="n">
        <f aca="false">Inputs!E21</f>
        <v>3132</v>
      </c>
      <c r="F11" s="16" t="n">
        <f aca="false">Inputs!F21</f>
        <v>3403</v>
      </c>
      <c r="G11" s="16" t="n">
        <f aca="false">Inputs!G21</f>
        <v>3402</v>
      </c>
      <c r="H11" s="16" t="n">
        <f aca="false">Inputs!H21</f>
        <v>3453</v>
      </c>
      <c r="I11" s="16" t="n">
        <f aca="false">I7*Inputs!I32</f>
        <v>3746.347675</v>
      </c>
      <c r="J11" s="16" t="n">
        <f aca="false">J7*Inputs!J32</f>
        <v>4064.787227375</v>
      </c>
      <c r="K11" s="16" t="n">
        <f aca="false">K7*Inputs!K32</f>
        <v>4296.56658417</v>
      </c>
      <c r="L11" s="16" t="n">
        <f aca="false">L7*Inputs!L32</f>
        <v>4618.80907798275</v>
      </c>
      <c r="M11" s="16" t="n">
        <f aca="false">M7*Inputs!M32</f>
        <v>4942.12571344154</v>
      </c>
    </row>
    <row r="12" customFormat="false" ht="15" hidden="false" customHeight="false" outlineLevel="0" collapsed="false">
      <c r="B12" s="6" t="s">
        <v>82</v>
      </c>
      <c r="C12" s="19" t="s">
        <v>76</v>
      </c>
      <c r="D12" s="16" t="n">
        <f aca="false">Inputs!D22</f>
        <v>7406</v>
      </c>
      <c r="E12" s="16" t="n">
        <f aca="false">Inputs!E22</f>
        <v>9494</v>
      </c>
      <c r="F12" s="16" t="n">
        <f aca="false">Inputs!F22</f>
        <v>11420</v>
      </c>
      <c r="G12" s="16" t="n">
        <f aca="false">Inputs!G22</f>
        <v>11745</v>
      </c>
      <c r="H12" s="16" t="n">
        <f aca="false">Inputs!H22</f>
        <v>12267</v>
      </c>
      <c r="I12" s="16" t="n">
        <f aca="false">I7*Inputs!I33</f>
        <v>13311.490675</v>
      </c>
      <c r="J12" s="16" t="n">
        <f aca="false">J7*Inputs!J33</f>
        <v>14442.967382375</v>
      </c>
      <c r="K12" s="16" t="n">
        <f aca="false">K7*Inputs!K33</f>
        <v>15505.00115157</v>
      </c>
      <c r="L12" s="16" t="n">
        <f aca="false">L7*Inputs!L33</f>
        <v>16667.8762379378</v>
      </c>
      <c r="M12" s="16" t="n">
        <f aca="false">M7*Inputs!M33</f>
        <v>17834.6275745934</v>
      </c>
    </row>
    <row r="13" customFormat="false" ht="15" hidden="false" customHeight="false" outlineLevel="0" collapsed="false">
      <c r="B13" s="13" t="s">
        <v>137</v>
      </c>
      <c r="C13" s="19" t="s">
        <v>76</v>
      </c>
      <c r="D13" s="41" t="n">
        <f aca="false">D10-D11-D12</f>
        <v>15330</v>
      </c>
      <c r="E13" s="41" t="n">
        <f aca="false">E10-E11-E12</f>
        <v>18934</v>
      </c>
      <c r="F13" s="41" t="n">
        <f aca="false">F10-F11-F12</f>
        <v>22470</v>
      </c>
      <c r="G13" s="41" t="n">
        <f aca="false">G10-G11-G12</f>
        <v>23050</v>
      </c>
      <c r="H13" s="41" t="n">
        <f aca="false">H10-H11-H12</f>
        <v>24025</v>
      </c>
      <c r="I13" s="41" t="n">
        <f aca="false">I10-I11-I12</f>
        <v>26144.7242</v>
      </c>
      <c r="J13" s="41" t="n">
        <f aca="false">J10-J11-J12</f>
        <v>28453.510591625</v>
      </c>
      <c r="K13" s="41" t="n">
        <f aca="false">K10-K11-K12</f>
        <v>31010.00230314</v>
      </c>
      <c r="L13" s="41" t="n">
        <f aca="false">L10-L11-L12</f>
        <v>33436.1613688751</v>
      </c>
      <c r="M13" s="41" t="n">
        <f aca="false">M10-M11-M12</f>
        <v>35776.6926646964</v>
      </c>
    </row>
    <row r="14" customFormat="false" ht="15" hidden="false" customHeight="false" outlineLevel="0" collapsed="false">
      <c r="B14" s="6" t="s">
        <v>84</v>
      </c>
      <c r="C14" s="19" t="s">
        <v>76</v>
      </c>
      <c r="D14" s="16" t="n">
        <f aca="false">Inputs!D23</f>
        <v>1450</v>
      </c>
      <c r="E14" s="16" t="n">
        <f aca="false">Inputs!E23</f>
        <v>1650</v>
      </c>
      <c r="F14" s="16" t="n">
        <f aca="false">Inputs!F23</f>
        <v>1650</v>
      </c>
      <c r="G14" s="16" t="n">
        <f aca="false">Inputs!G23</f>
        <v>1700</v>
      </c>
      <c r="H14" s="16" t="n">
        <f aca="false">Inputs!H23</f>
        <v>1750</v>
      </c>
      <c r="I14" s="16" t="n">
        <f aca="false">Inputs!I45*BS!H13</f>
        <v>1680</v>
      </c>
      <c r="J14" s="16" t="n">
        <f aca="false">Inputs!J45*BS!I13</f>
        <v>1757.68833625</v>
      </c>
      <c r="K14" s="16" t="n">
        <f aca="false">Inputs!K45*BS!J13</f>
        <v>1846.53799754375</v>
      </c>
      <c r="L14" s="16" t="n">
        <f aca="false">Inputs!L45*BS!K13</f>
        <v>1946.11921013344</v>
      </c>
      <c r="M14" s="16" t="n">
        <f aca="false">Inputs!M45*BS!L13</f>
        <v>2055.89265327318</v>
      </c>
    </row>
    <row r="15" customFormat="false" ht="15" hidden="false" customHeight="false" outlineLevel="0" collapsed="false">
      <c r="B15" s="13" t="s">
        <v>138</v>
      </c>
      <c r="C15" s="19" t="s">
        <v>76</v>
      </c>
      <c r="D15" s="41" t="n">
        <f aca="false">D13-D14</f>
        <v>13880</v>
      </c>
      <c r="E15" s="41" t="n">
        <f aca="false">E13-E14</f>
        <v>17284</v>
      </c>
      <c r="F15" s="41" t="n">
        <f aca="false">F13-F14</f>
        <v>20820</v>
      </c>
      <c r="G15" s="41" t="n">
        <f aca="false">G13-G14</f>
        <v>21350</v>
      </c>
      <c r="H15" s="41" t="n">
        <f aca="false">H13-H14</f>
        <v>22275</v>
      </c>
      <c r="I15" s="41" t="n">
        <f aca="false">I13-I14</f>
        <v>24464.7242</v>
      </c>
      <c r="J15" s="41" t="n">
        <f aca="false">J13-J14</f>
        <v>26695.822255375</v>
      </c>
      <c r="K15" s="41" t="n">
        <f aca="false">K13-K14</f>
        <v>29163.4643055962</v>
      </c>
      <c r="L15" s="41" t="n">
        <f aca="false">L13-L14</f>
        <v>31490.0421587417</v>
      </c>
      <c r="M15" s="41" t="n">
        <f aca="false">M13-M14</f>
        <v>33720.8000114232</v>
      </c>
    </row>
    <row r="16" customFormat="false" ht="15" hidden="false" customHeight="false" outlineLevel="0" collapsed="false">
      <c r="B16" s="6" t="s">
        <v>85</v>
      </c>
      <c r="C16" s="19" t="s">
        <v>76</v>
      </c>
      <c r="D16" s="16" t="n">
        <f aca="false">Inputs!D24</f>
        <v>2800</v>
      </c>
      <c r="E16" s="16" t="n">
        <f aca="false">Inputs!E24</f>
        <v>2600</v>
      </c>
      <c r="F16" s="16" t="n">
        <f aca="false">Inputs!F24</f>
        <v>3100</v>
      </c>
      <c r="G16" s="16" t="n">
        <f aca="false">Inputs!G24</f>
        <v>3500</v>
      </c>
      <c r="H16" s="16" t="n">
        <f aca="false">Inputs!H24</f>
        <v>3786</v>
      </c>
      <c r="I16" s="16" t="n">
        <f aca="false">Inputs!I52*BS!H8</f>
        <v>3610</v>
      </c>
      <c r="J16" s="16" t="n">
        <f aca="false">Inputs!J52*BS!I8</f>
        <v>3746.01708880643</v>
      </c>
      <c r="K16" s="16" t="n">
        <f aca="false">Inputs!K52*BS!J8</f>
        <v>3888.40836356163</v>
      </c>
      <c r="L16" s="16" t="n">
        <f aca="false">Inputs!L52*BS!K8</f>
        <v>4043.25666401142</v>
      </c>
      <c r="M16" s="16" t="n">
        <f aca="false">Inputs!M52*BS!L8</f>
        <v>4210.37565807453</v>
      </c>
    </row>
    <row r="17" customFormat="false" ht="15" hidden="false" customHeight="false" outlineLevel="0" collapsed="false">
      <c r="B17" s="6" t="s">
        <v>87</v>
      </c>
      <c r="C17" s="19" t="s">
        <v>76</v>
      </c>
      <c r="D17" s="16" t="n">
        <f aca="false">Inputs!D25</f>
        <v>70</v>
      </c>
      <c r="E17" s="16" t="n">
        <f aca="false">Inputs!E25</f>
        <v>55</v>
      </c>
      <c r="F17" s="16" t="n">
        <f aca="false">Inputs!F25</f>
        <v>50</v>
      </c>
      <c r="G17" s="16" t="n">
        <f aca="false">Inputs!G25</f>
        <v>55</v>
      </c>
      <c r="H17" s="16" t="n">
        <f aca="false">Inputs!H25</f>
        <v>60</v>
      </c>
      <c r="I17" s="16" t="n">
        <f aca="false">Inputs!I53*BS!H21</f>
        <v>32</v>
      </c>
      <c r="J17" s="16" t="n">
        <f aca="false">Inputs!J53*BS!I21</f>
        <v>24</v>
      </c>
      <c r="K17" s="16" t="n">
        <f aca="false">Inputs!K53*BS!J21</f>
        <v>16</v>
      </c>
      <c r="L17" s="16" t="n">
        <f aca="false">Inputs!L53*BS!K21</f>
        <v>8</v>
      </c>
      <c r="M17" s="16" t="n">
        <f aca="false">Inputs!M53*BS!L21</f>
        <v>0</v>
      </c>
    </row>
    <row r="18" customFormat="false" ht="15" hidden="false" customHeight="false" outlineLevel="0" collapsed="false">
      <c r="B18" s="13" t="s">
        <v>139</v>
      </c>
      <c r="C18" s="19" t="s">
        <v>76</v>
      </c>
      <c r="D18" s="41" t="n">
        <f aca="false">D15+D16-D17</f>
        <v>16610</v>
      </c>
      <c r="E18" s="41" t="n">
        <f aca="false">E15+E16-E17</f>
        <v>19829</v>
      </c>
      <c r="F18" s="41" t="n">
        <f aca="false">F15+F16-F17</f>
        <v>23870</v>
      </c>
      <c r="G18" s="41" t="n">
        <f aca="false">G15+G16-G17</f>
        <v>24795</v>
      </c>
      <c r="H18" s="41" t="n">
        <f aca="false">H15+H16-H17</f>
        <v>26001</v>
      </c>
      <c r="I18" s="41" t="n">
        <f aca="false">I15+I16-I17</f>
        <v>28042.7242</v>
      </c>
      <c r="J18" s="41" t="n">
        <f aca="false">J15+J16-J17</f>
        <v>30417.8393441814</v>
      </c>
      <c r="K18" s="41" t="n">
        <f aca="false">K15+K16-K17</f>
        <v>33035.8726691579</v>
      </c>
      <c r="L18" s="41" t="n">
        <f aca="false">L15+L16-L17</f>
        <v>35525.2988227531</v>
      </c>
      <c r="M18" s="41" t="n">
        <f aca="false">M15+M16-M17</f>
        <v>37931.1756694977</v>
      </c>
    </row>
    <row r="19" customFormat="false" ht="15" hidden="false" customHeight="false" outlineLevel="0" collapsed="false">
      <c r="B19" s="6" t="s">
        <v>140</v>
      </c>
      <c r="C19" s="19" t="s">
        <v>76</v>
      </c>
      <c r="D19" s="16" t="n">
        <f aca="false">D18*Inputs!D26</f>
        <v>4069.45</v>
      </c>
      <c r="E19" s="16" t="n">
        <f aca="false">E18*Inputs!E26</f>
        <v>4770.8574</v>
      </c>
      <c r="F19" s="16" t="n">
        <f aca="false">F18*Inputs!F26</f>
        <v>5848.15</v>
      </c>
      <c r="G19" s="16" t="n">
        <f aca="false">G18*Inputs!G26</f>
        <v>6074.775</v>
      </c>
      <c r="H19" s="16" t="n">
        <f aca="false">H18*Inputs!H26</f>
        <v>6370.245</v>
      </c>
      <c r="I19" s="16" t="n">
        <f aca="false">I18*Inputs!$D$10</f>
        <v>7058.35368114</v>
      </c>
      <c r="J19" s="16" t="n">
        <f aca="false">J18*Inputs!$D$10</f>
        <v>7656.17016293046</v>
      </c>
      <c r="K19" s="16" t="n">
        <f aca="false">K18*Inputs!$D$10</f>
        <v>8315.12915082704</v>
      </c>
      <c r="L19" s="16" t="n">
        <f aca="false">L18*Inputs!$D$10</f>
        <v>8941.71771368696</v>
      </c>
      <c r="M19" s="16" t="n">
        <f aca="false">M18*Inputs!$D$10</f>
        <v>9547.27691601258</v>
      </c>
    </row>
    <row r="20" customFormat="false" ht="15" hidden="false" customHeight="false" outlineLevel="0" collapsed="false">
      <c r="B20" s="13" t="s">
        <v>141</v>
      </c>
      <c r="C20" s="19" t="s">
        <v>76</v>
      </c>
      <c r="D20" s="42" t="n">
        <f aca="false">D18-D19</f>
        <v>12540.55</v>
      </c>
      <c r="E20" s="42" t="n">
        <f aca="false">E18-E19</f>
        <v>15058.1426</v>
      </c>
      <c r="F20" s="42" t="n">
        <f aca="false">F18-F19</f>
        <v>18021.85</v>
      </c>
      <c r="G20" s="42" t="n">
        <f aca="false">G18-G19</f>
        <v>18720.225</v>
      </c>
      <c r="H20" s="42" t="n">
        <f aca="false">H18-H19</f>
        <v>19630.755</v>
      </c>
      <c r="I20" s="42" t="n">
        <f aca="false">I18-I19</f>
        <v>20984.37051886</v>
      </c>
      <c r="J20" s="42" t="n">
        <f aca="false">J18-J19</f>
        <v>22761.669181251</v>
      </c>
      <c r="K20" s="42" t="n">
        <f aca="false">K18-K19</f>
        <v>24720.7435183308</v>
      </c>
      <c r="L20" s="42" t="n">
        <f aca="false">L18-L19</f>
        <v>26583.5811090661</v>
      </c>
      <c r="M20" s="42" t="n">
        <f aca="false">M18-M19</f>
        <v>28383.8987534852</v>
      </c>
    </row>
    <row r="21" customFormat="false" ht="15" hidden="false" customHeight="false" outlineLevel="0" collapsed="false">
      <c r="B21" s="6" t="s">
        <v>142</v>
      </c>
      <c r="C21" s="19" t="s">
        <v>143</v>
      </c>
      <c r="D21" s="43" t="n">
        <f aca="false">D20/Inputs!$D$11</f>
        <v>10.0244204636291</v>
      </c>
      <c r="E21" s="43" t="n">
        <f aca="false">E20/Inputs!$D$11</f>
        <v>12.0368845723421</v>
      </c>
      <c r="F21" s="43" t="n">
        <f aca="false">F20/Inputs!$D$11</f>
        <v>14.4059552358114</v>
      </c>
      <c r="G21" s="43" t="n">
        <f aca="false">G20/Inputs!$D$11</f>
        <v>14.9642086330935</v>
      </c>
      <c r="H21" s="43" t="n">
        <f aca="false">H20/Inputs!$D$11</f>
        <v>15.6920503597122</v>
      </c>
      <c r="I21" s="43" t="n">
        <f aca="false">I20/Inputs!$D$11</f>
        <v>16.7740771533653</v>
      </c>
      <c r="J21" s="43" t="n">
        <f aca="false">J20/Inputs!$D$11</f>
        <v>18.1947795213837</v>
      </c>
      <c r="K21" s="43" t="n">
        <f aca="false">K20/Inputs!$D$11</f>
        <v>19.7607861857161</v>
      </c>
      <c r="L21" s="43" t="n">
        <f aca="false">L20/Inputs!$D$11</f>
        <v>21.2498649952567</v>
      </c>
      <c r="M21" s="43" t="n">
        <f aca="false">M20/Inputs!$D$11</f>
        <v>22.6889678285253</v>
      </c>
    </row>
    <row r="24" customFormat="false" ht="15" hidden="false" customHeight="false" outlineLevel="0" collapsed="false">
      <c r="A24" s="3" t="s">
        <v>1</v>
      </c>
      <c r="B24" s="4" t="s">
        <v>144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5" hidden="false" customHeight="false" outlineLevel="1" collapsed="false">
      <c r="B25" s="6" t="s">
        <v>145</v>
      </c>
      <c r="C25" s="19" t="s">
        <v>89</v>
      </c>
      <c r="D25" s="36" t="n">
        <f aca="false">D9/D$7</f>
        <v>0.471993854841388</v>
      </c>
      <c r="E25" s="36" t="n">
        <f aca="false">E9/E$7</f>
        <v>0.465998883267627</v>
      </c>
      <c r="F25" s="36" t="n">
        <f aca="false">F9/F$7</f>
        <v>0.462992828960631</v>
      </c>
      <c r="G25" s="36" t="n">
        <f aca="false">G9/G$7</f>
        <v>0.461004416724286</v>
      </c>
      <c r="H25" s="36" t="n">
        <f aca="false">H9/H$7</f>
        <v>0.45899407881304</v>
      </c>
      <c r="I25" s="36" t="n">
        <f aca="false">I9/I$7</f>
        <v>0.458</v>
      </c>
      <c r="J25" s="36" t="n">
        <f aca="false">J9/J$7</f>
        <v>0.457</v>
      </c>
      <c r="K25" s="36" t="n">
        <f aca="false">K9/K$7</f>
        <v>0.456</v>
      </c>
      <c r="L25" s="36" t="n">
        <f aca="false">L9/L$7</f>
        <v>0.455</v>
      </c>
      <c r="M25" s="36" t="n">
        <f aca="false">M9/M$7</f>
        <v>0.455</v>
      </c>
    </row>
    <row r="26" customFormat="false" ht="15" hidden="false" customHeight="false" outlineLevel="1" collapsed="false">
      <c r="B26" s="13" t="s">
        <v>146</v>
      </c>
      <c r="C26" s="19" t="s">
        <v>89</v>
      </c>
      <c r="D26" s="36" t="n">
        <f aca="false">D10/D$7</f>
        <v>0.528006145158612</v>
      </c>
      <c r="E26" s="36" t="n">
        <f aca="false">E10/E$7</f>
        <v>0.534001116732373</v>
      </c>
      <c r="F26" s="36" t="n">
        <f aca="false">F10/F$7</f>
        <v>0.537007171039369</v>
      </c>
      <c r="G26" s="36" t="n">
        <f aca="false">G10/G$7</f>
        <v>0.538995583275714</v>
      </c>
      <c r="H26" s="36" t="n">
        <f aca="false">H10/H$7</f>
        <v>0.54100592118696</v>
      </c>
      <c r="I26" s="36" t="n">
        <f aca="false">I10/I$7</f>
        <v>0.542</v>
      </c>
      <c r="J26" s="36" t="n">
        <f aca="false">J10/J$7</f>
        <v>0.543</v>
      </c>
      <c r="K26" s="36" t="n">
        <f aca="false">K10/K$7</f>
        <v>0.544</v>
      </c>
      <c r="L26" s="36" t="n">
        <f aca="false">L10/L$7</f>
        <v>0.545</v>
      </c>
      <c r="M26" s="36" t="n">
        <f aca="false">M10/M$7</f>
        <v>0.545</v>
      </c>
    </row>
    <row r="27" customFormat="false" ht="15" hidden="false" customHeight="false" outlineLevel="1" collapsed="false">
      <c r="B27" s="6" t="s">
        <v>80</v>
      </c>
      <c r="C27" s="19" t="s">
        <v>89</v>
      </c>
      <c r="D27" s="36" t="n">
        <f aca="false">D11/D$7</f>
        <v>0.0559915296462382</v>
      </c>
      <c r="E27" s="36" t="n">
        <f aca="false">E11/E$7</f>
        <v>0.0529940271738211</v>
      </c>
      <c r="F27" s="36" t="n">
        <f aca="false">F11/F$7</f>
        <v>0.0490021023529073</v>
      </c>
      <c r="G27" s="36" t="n">
        <f aca="false">G11/G$7</f>
        <v>0.0480054186010414</v>
      </c>
      <c r="H27" s="36" t="n">
        <f aca="false">H11/H$7</f>
        <v>0.0470019737289866</v>
      </c>
      <c r="I27" s="36" t="n">
        <f aca="false">I11/I$7</f>
        <v>0.047</v>
      </c>
      <c r="J27" s="36" t="n">
        <f aca="false">J11/J$7</f>
        <v>0.047</v>
      </c>
      <c r="K27" s="36" t="n">
        <f aca="false">K11/K$7</f>
        <v>0.046</v>
      </c>
      <c r="L27" s="36" t="n">
        <f aca="false">L11/L$7</f>
        <v>0.046</v>
      </c>
      <c r="M27" s="36" t="n">
        <f aca="false">M11/M$7</f>
        <v>0.046</v>
      </c>
    </row>
    <row r="28" customFormat="false" ht="15" hidden="false" customHeight="false" outlineLevel="1" collapsed="false">
      <c r="B28" s="6" t="s">
        <v>82</v>
      </c>
      <c r="C28" s="19" t="s">
        <v>89</v>
      </c>
      <c r="D28" s="36" t="n">
        <f aca="false">D12/D$7</f>
        <v>0.153753529314067</v>
      </c>
      <c r="E28" s="36" t="n">
        <f aca="false">E12/E$7</f>
        <v>0.16064025989408</v>
      </c>
      <c r="F28" s="36" t="n">
        <f aca="false">F12/F$7</f>
        <v>0.164444316447312</v>
      </c>
      <c r="G28" s="36" t="n">
        <f aca="false">G12/G$7</f>
        <v>0.16573299278931</v>
      </c>
      <c r="H28" s="36" t="n">
        <f aca="false">H12/H$7</f>
        <v>0.166977472265705</v>
      </c>
      <c r="I28" s="36" t="n">
        <f aca="false">I12/I$7</f>
        <v>0.167</v>
      </c>
      <c r="J28" s="36" t="n">
        <f aca="false">J12/J$7</f>
        <v>0.167</v>
      </c>
      <c r="K28" s="36" t="n">
        <f aca="false">K12/K$7</f>
        <v>0.166</v>
      </c>
      <c r="L28" s="36" t="n">
        <f aca="false">L12/L$7</f>
        <v>0.166</v>
      </c>
      <c r="M28" s="36" t="n">
        <f aca="false">M12/M$7</f>
        <v>0.166</v>
      </c>
    </row>
    <row r="29" customFormat="false" ht="15" hidden="false" customHeight="false" outlineLevel="1" collapsed="false">
      <c r="B29" s="13" t="s">
        <v>147</v>
      </c>
      <c r="C29" s="19" t="s">
        <v>89</v>
      </c>
      <c r="D29" s="36" t="n">
        <f aca="false">D13/D$7</f>
        <v>0.318261086198306</v>
      </c>
      <c r="E29" s="36" t="n">
        <f aca="false">E13/E$7</f>
        <v>0.320366829664473</v>
      </c>
      <c r="F29" s="36" t="n">
        <f aca="false">F13/F$7</f>
        <v>0.32356075223915</v>
      </c>
      <c r="G29" s="36" t="n">
        <f aca="false">G13/G$7</f>
        <v>0.325257171885363</v>
      </c>
      <c r="H29" s="36" t="n">
        <f aca="false">H13/H$7</f>
        <v>0.327026475192268</v>
      </c>
      <c r="I29" s="36" t="n">
        <f aca="false">I13/I$7</f>
        <v>0.328</v>
      </c>
      <c r="J29" s="36" t="n">
        <f aca="false">J13/J$7</f>
        <v>0.329</v>
      </c>
      <c r="K29" s="36" t="n">
        <f aca="false">K13/K$7</f>
        <v>0.332</v>
      </c>
      <c r="L29" s="36" t="n">
        <f aca="false">L13/L$7</f>
        <v>0.333</v>
      </c>
      <c r="M29" s="36" t="n">
        <f aca="false">M13/M$7</f>
        <v>0.333</v>
      </c>
    </row>
    <row r="30" customFormat="false" ht="15" hidden="false" customHeight="false" outlineLevel="1" collapsed="false">
      <c r="B30" s="6" t="s">
        <v>148</v>
      </c>
      <c r="C30" s="19" t="s">
        <v>89</v>
      </c>
      <c r="D30" s="36" t="n">
        <f aca="false">D14/D$7</f>
        <v>0.030102972928085</v>
      </c>
      <c r="E30" s="36" t="n">
        <f aca="false">E14/E$7</f>
        <v>0.0279183093348674</v>
      </c>
      <c r="F30" s="36" t="n">
        <f aca="false">F14/F$7</f>
        <v>0.0237594677879216</v>
      </c>
      <c r="G30" s="36" t="n">
        <f aca="false">G14/G$7</f>
        <v>0.0239885983603087</v>
      </c>
      <c r="H30" s="36" t="n">
        <f aca="false">H14/H$7</f>
        <v>0.0238208670795617</v>
      </c>
      <c r="I30" s="36" t="n">
        <f aca="false">I14/I$7</f>
        <v>0.0210765275542666</v>
      </c>
      <c r="J30" s="36" t="n">
        <f aca="false">J14/J$7</f>
        <v>0.0203236595626432</v>
      </c>
      <c r="K30" s="36" t="n">
        <f aca="false">K14/K$7</f>
        <v>0.0197694475863502</v>
      </c>
      <c r="L30" s="36" t="n">
        <f aca="false">L14/L$7</f>
        <v>0.0193819407026099</v>
      </c>
      <c r="M30" s="36" t="n">
        <f aca="false">M14/M$7</f>
        <v>0.0191357054704928</v>
      </c>
    </row>
    <row r="31" customFormat="false" ht="15" hidden="false" customHeight="false" outlineLevel="1" collapsed="false">
      <c r="B31" s="13" t="s">
        <v>149</v>
      </c>
      <c r="C31" s="19" t="s">
        <v>89</v>
      </c>
      <c r="D31" s="36" t="n">
        <f aca="false">D15/D$7</f>
        <v>0.288158113270221</v>
      </c>
      <c r="E31" s="36" t="n">
        <f aca="false">E15/E$7</f>
        <v>0.292448520329605</v>
      </c>
      <c r="F31" s="36" t="n">
        <f aca="false">F15/F$7</f>
        <v>0.299801284451228</v>
      </c>
      <c r="G31" s="36" t="n">
        <f aca="false">G15/G$7</f>
        <v>0.301268573525054</v>
      </c>
      <c r="H31" s="36" t="n">
        <f aca="false">H15/H$7</f>
        <v>0.303205608112707</v>
      </c>
      <c r="I31" s="36" t="n">
        <f aca="false">I15/I$7</f>
        <v>0.306923472445733</v>
      </c>
      <c r="J31" s="36" t="n">
        <f aca="false">J15/J$7</f>
        <v>0.308676340437357</v>
      </c>
      <c r="K31" s="36" t="n">
        <f aca="false">K15/K$7</f>
        <v>0.31223055241365</v>
      </c>
      <c r="L31" s="36" t="n">
        <f aca="false">L15/L$7</f>
        <v>0.31361805929739</v>
      </c>
      <c r="M31" s="36" t="n">
        <f aca="false">M15/M$7</f>
        <v>0.313864294529507</v>
      </c>
    </row>
    <row r="32" customFormat="false" ht="15" hidden="false" customHeight="false" outlineLevel="1" collapsed="false">
      <c r="B32" s="6" t="s">
        <v>85</v>
      </c>
      <c r="C32" s="19" t="s">
        <v>89</v>
      </c>
      <c r="D32" s="36" t="n">
        <f aca="false">D16/D$7</f>
        <v>0.0581298787576815</v>
      </c>
      <c r="E32" s="36" t="n">
        <f aca="false">E16/E$7</f>
        <v>0.0439924874367608</v>
      </c>
      <c r="F32" s="36" t="n">
        <f aca="false">F16/F$7</f>
        <v>0.0446390000863981</v>
      </c>
      <c r="G32" s="36" t="n">
        <f aca="false">G16/G$7</f>
        <v>0.0493882907418121</v>
      </c>
      <c r="H32" s="36" t="n">
        <f aca="false">H16/H$7</f>
        <v>0.051534744436126</v>
      </c>
      <c r="I32" s="36" t="n">
        <f aca="false">I16/I$7</f>
        <v>0.0452894431374419</v>
      </c>
      <c r="J32" s="36" t="n">
        <f aca="false">J16/J$7</f>
        <v>0.0433141498743593</v>
      </c>
      <c r="K32" s="36" t="n">
        <f aca="false">K16/K$7</f>
        <v>0.0416301670694086</v>
      </c>
      <c r="L32" s="36" t="n">
        <f aca="false">L16/L$7</f>
        <v>0.0402679139588415</v>
      </c>
      <c r="M32" s="36" t="n">
        <f aca="false">M16/M$7</f>
        <v>0.0391890638768389</v>
      </c>
    </row>
    <row r="33" customFormat="false" ht="15" hidden="false" customHeight="false" outlineLevel="1" collapsed="false">
      <c r="B33" s="6" t="s">
        <v>87</v>
      </c>
      <c r="C33" s="19" t="s">
        <v>89</v>
      </c>
      <c r="D33" s="36" t="n">
        <f aca="false">D17/D$7</f>
        <v>0.00145324696894204</v>
      </c>
      <c r="E33" s="36" t="n">
        <f aca="false">E17/E$7</f>
        <v>0.000930610311162248</v>
      </c>
      <c r="F33" s="36" t="n">
        <f aca="false">F17/F$7</f>
        <v>0.000719983872361259</v>
      </c>
      <c r="G33" s="36" t="n">
        <f aca="false">G17/G$7</f>
        <v>0.000776101711657048</v>
      </c>
      <c r="H33" s="36" t="n">
        <f aca="false">H17/H$7</f>
        <v>0.00081671544272783</v>
      </c>
      <c r="I33" s="36" t="n">
        <f aca="false">I17/I$7</f>
        <v>0.000401457667700316</v>
      </c>
      <c r="J33" s="36" t="n">
        <f aca="false">J17/J$7</f>
        <v>0.000277505300253674</v>
      </c>
      <c r="K33" s="36" t="n">
        <f aca="false">K17/K$7</f>
        <v>0.000171299568057824</v>
      </c>
      <c r="L33" s="36" t="n">
        <f aca="false">L17/L$7</f>
        <v>7.96742177013134E-005</v>
      </c>
      <c r="M33" s="36" t="n">
        <f aca="false">M17/M$7</f>
        <v>0</v>
      </c>
    </row>
    <row r="34" customFormat="false" ht="15" hidden="false" customHeight="false" outlineLevel="1" collapsed="false">
      <c r="B34" s="13" t="s">
        <v>150</v>
      </c>
      <c r="C34" s="19" t="s">
        <v>89</v>
      </c>
      <c r="D34" s="36" t="n">
        <f aca="false">D18/D$7</f>
        <v>0.34483474505896</v>
      </c>
      <c r="E34" s="36" t="n">
        <f aca="false">E18/E$7</f>
        <v>0.335510397455204</v>
      </c>
      <c r="F34" s="36" t="n">
        <f aca="false">F18/F$7</f>
        <v>0.343720300665265</v>
      </c>
      <c r="G34" s="36" t="n">
        <f aca="false">G18/G$7</f>
        <v>0.349880762555209</v>
      </c>
      <c r="H34" s="36" t="n">
        <f aca="false">H18/H$7</f>
        <v>0.353923637106105</v>
      </c>
      <c r="I34" s="36" t="n">
        <f aca="false">I18/I$7</f>
        <v>0.351811457915475</v>
      </c>
      <c r="J34" s="36" t="n">
        <f aca="false">J18/J$7</f>
        <v>0.351712985011462</v>
      </c>
      <c r="K34" s="36" t="n">
        <f aca="false">K18/K$7</f>
        <v>0.353689419915</v>
      </c>
      <c r="L34" s="36" t="n">
        <f aca="false">L18/L$7</f>
        <v>0.35380629903853</v>
      </c>
      <c r="M34" s="36" t="n">
        <f aca="false">M18/M$7</f>
        <v>0.353053358406346</v>
      </c>
    </row>
    <row r="35" customFormat="false" ht="15" hidden="false" customHeight="false" outlineLevel="1" collapsed="false">
      <c r="B35" s="6" t="s">
        <v>140</v>
      </c>
      <c r="C35" s="19" t="s">
        <v>89</v>
      </c>
      <c r="D35" s="36" t="n">
        <f aca="false">D19/D$7</f>
        <v>0.0844845125394453</v>
      </c>
      <c r="E35" s="36" t="n">
        <f aca="false">E19/E$7</f>
        <v>0.080723801627722</v>
      </c>
      <c r="F35" s="36" t="n">
        <f aca="false">F19/F$7</f>
        <v>0.08421147366299</v>
      </c>
      <c r="G35" s="36" t="n">
        <f aca="false">G19/G$7</f>
        <v>0.0857207868260262</v>
      </c>
      <c r="H35" s="36" t="n">
        <f aca="false">H19/H$7</f>
        <v>0.0867112910909957</v>
      </c>
      <c r="I35" s="36" t="n">
        <f aca="false">I19/I$7</f>
        <v>0.0885509439573251</v>
      </c>
      <c r="J35" s="36" t="n">
        <f aca="false">J19/J$7</f>
        <v>0.0885261583273851</v>
      </c>
      <c r="K35" s="36" t="n">
        <f aca="false">K19/K$7</f>
        <v>0.0890236269926056</v>
      </c>
      <c r="L35" s="36" t="n">
        <f aca="false">L19/L$7</f>
        <v>0.0890530454679981</v>
      </c>
      <c r="M35" s="36" t="n">
        <f aca="false">M19/M$7</f>
        <v>0.0888635303108773</v>
      </c>
    </row>
    <row r="36" customFormat="false" ht="15" hidden="false" customHeight="false" outlineLevel="1" collapsed="false">
      <c r="B36" s="13" t="s">
        <v>151</v>
      </c>
      <c r="C36" s="19" t="s">
        <v>89</v>
      </c>
      <c r="D36" s="36" t="n">
        <f aca="false">D20/D$7</f>
        <v>0.260350232519515</v>
      </c>
      <c r="E36" s="36" t="n">
        <f aca="false">E20/E$7</f>
        <v>0.254786595827482</v>
      </c>
      <c r="F36" s="36" t="n">
        <f aca="false">F20/F$7</f>
        <v>0.259508827002275</v>
      </c>
      <c r="G36" s="36" t="n">
        <f aca="false">G20/G$7</f>
        <v>0.264159975729183</v>
      </c>
      <c r="H36" s="36" t="n">
        <f aca="false">H20/H$7</f>
        <v>0.267212346015109</v>
      </c>
      <c r="I36" s="36" t="n">
        <f aca="false">I20/I$7</f>
        <v>0.26326051395815</v>
      </c>
      <c r="J36" s="36" t="n">
        <f aca="false">J20/J$7</f>
        <v>0.263186826684077</v>
      </c>
      <c r="K36" s="36" t="n">
        <f aca="false">K20/K$7</f>
        <v>0.264665792922395</v>
      </c>
      <c r="L36" s="36" t="n">
        <f aca="false">L20/L$7</f>
        <v>0.264753253570532</v>
      </c>
      <c r="M36" s="36" t="n">
        <f aca="false">M20/M$7</f>
        <v>0.264189828095469</v>
      </c>
    </row>
  </sheetData>
  <conditionalFormatting sqref="D29:M29">
    <cfRule type="cellIs" priority="2" operator="greaterThan" aboveAverage="0" equalAverage="0" bottom="0" percent="0" rank="0" text="" dxfId="2">
      <formula>0.15</formula>
    </cfRule>
  </conditionalFormatting>
  <conditionalFormatting sqref="D27:M27">
    <cfRule type="cellIs" priority="3" operator="lessThan" aboveAverage="0" equalAverage="0" bottom="0" percent="0" rank="0" text="" dxfId="3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2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1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13" min="4" style="0" width="11.5"/>
  </cols>
  <sheetData>
    <row r="2" customFormat="false" ht="19.7" hidden="false" customHeight="false" outlineLevel="0" collapsed="false">
      <c r="B2" s="18" t="str">
        <f aca="false">"Balance Sheet - "&amp;Inputs!$D$5</f>
        <v>Balance Sheet - ITC Limited</v>
      </c>
    </row>
    <row r="3" customFormat="false" ht="15" hidden="false" customHeight="false" outlineLevel="0" collapsed="false">
      <c r="B3" s="2" t="str">
        <f aca="false">Inputs!$D$6&amp;"  |  Scenario: "&amp;Inputs!$D$9</f>
        <v>INR crore (Rs cr)  |  Scenario: Base</v>
      </c>
    </row>
    <row r="5" customFormat="false" ht="15" hidden="false" customHeight="false" outlineLevel="0" collapsed="false">
      <c r="B5" s="28" t="s">
        <v>72</v>
      </c>
      <c r="C5" s="29" t="s">
        <v>73</v>
      </c>
      <c r="D5" s="30" t="n">
        <f aca="false">Inputs!$D$7</f>
        <v>2021</v>
      </c>
      <c r="E5" s="30" t="n">
        <f aca="false">D5+1</f>
        <v>2022</v>
      </c>
      <c r="F5" s="30" t="n">
        <f aca="false">E5+1</f>
        <v>2023</v>
      </c>
      <c r="G5" s="30" t="n">
        <f aca="false">F5+1</f>
        <v>2024</v>
      </c>
      <c r="H5" s="30" t="n">
        <f aca="false">G5+1</f>
        <v>2025</v>
      </c>
      <c r="I5" s="31" t="n">
        <f aca="false">H5+1</f>
        <v>2026</v>
      </c>
      <c r="J5" s="31" t="n">
        <f aca="false">I5+1</f>
        <v>2027</v>
      </c>
      <c r="K5" s="31" t="n">
        <f aca="false">J5+1</f>
        <v>2028</v>
      </c>
      <c r="L5" s="31" t="n">
        <f aca="false">K5+1</f>
        <v>2029</v>
      </c>
      <c r="M5" s="31" t="n">
        <f aca="false">L5+1</f>
        <v>2030</v>
      </c>
    </row>
    <row r="7" customFormat="false" ht="15" hidden="false" customHeight="false" outlineLevel="0" collapsed="false">
      <c r="A7" s="3" t="s">
        <v>1</v>
      </c>
      <c r="B7" s="4" t="s">
        <v>152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15" hidden="false" customHeight="false" outlineLevel="0" collapsed="false">
      <c r="B8" s="6" t="s">
        <v>122</v>
      </c>
      <c r="C8" s="19" t="s">
        <v>76</v>
      </c>
      <c r="H8" s="16" t="n">
        <f aca="false">Inputs!H58</f>
        <v>38000</v>
      </c>
      <c r="I8" s="16" t="n">
        <f aca="false">CF!I25</f>
        <v>39431.7588295413</v>
      </c>
      <c r="J8" s="16" t="n">
        <f aca="false">CF!J25</f>
        <v>40930.6143532804</v>
      </c>
      <c r="K8" s="16" t="n">
        <f aca="false">CF!K25</f>
        <v>42560.5964632781</v>
      </c>
      <c r="L8" s="16" t="n">
        <f aca="false">CF!L25</f>
        <v>44319.7437692056</v>
      </c>
      <c r="M8" s="16" t="n">
        <f aca="false">CF!M25</f>
        <v>46294.1540843443</v>
      </c>
    </row>
    <row r="9" customFormat="false" ht="15" hidden="false" customHeight="false" outlineLevel="0" collapsed="false">
      <c r="B9" s="6" t="s">
        <v>126</v>
      </c>
      <c r="C9" s="19" t="s">
        <v>76</v>
      </c>
      <c r="H9" s="16" t="n">
        <f aca="false">Inputs!H61</f>
        <v>12500</v>
      </c>
      <c r="I9" s="16" t="n">
        <f aca="false">Inputs!I48*IS!I9/365</f>
        <v>13502.5751527397</v>
      </c>
      <c r="J9" s="16" t="n">
        <f aca="false">Inputs!J48*IS!J9/365</f>
        <v>14618.306499149</v>
      </c>
      <c r="K9" s="16" t="n">
        <f aca="false">Inputs!K48*IS!K9/365</f>
        <v>15753.2244741814</v>
      </c>
      <c r="L9" s="16" t="n">
        <f aca="false">Inputs!L48*IS!L9/365</f>
        <v>16897.578773978</v>
      </c>
      <c r="M9" s="16" t="n">
        <f aca="false">Inputs!M48*IS!M9/365</f>
        <v>18080.4092881564</v>
      </c>
    </row>
    <row r="10" customFormat="false" ht="15" hidden="false" customHeight="false" outlineLevel="0" collapsed="false">
      <c r="B10" s="6" t="s">
        <v>127</v>
      </c>
      <c r="C10" s="19" t="s">
        <v>76</v>
      </c>
      <c r="H10" s="16" t="n">
        <f aca="false">Inputs!H62</f>
        <v>3600</v>
      </c>
      <c r="I10" s="16" t="n">
        <f aca="false">Inputs!I47*IS!I7/365</f>
        <v>3930.88068493151</v>
      </c>
      <c r="J10" s="16" t="n">
        <f aca="false">Inputs!J47*IS!J7/365</f>
        <v>4265.00554315068</v>
      </c>
      <c r="K10" s="16" t="n">
        <f aca="false">Inputs!K47*IS!K7/365</f>
        <v>4606.20598660274</v>
      </c>
      <c r="L10" s="16" t="n">
        <f aca="false">Inputs!L47*IS!L7/365</f>
        <v>4951.67143559795</v>
      </c>
      <c r="M10" s="16" t="n">
        <f aca="false">Inputs!M47*IS!M7/365</f>
        <v>5298.2884360898</v>
      </c>
    </row>
    <row r="11" customFormat="false" ht="15" hidden="false" customHeight="false" outlineLevel="0" collapsed="false">
      <c r="B11" s="6" t="s">
        <v>128</v>
      </c>
      <c r="C11" s="19" t="s">
        <v>76</v>
      </c>
      <c r="H11" s="16" t="n">
        <f aca="false">Inputs!H63</f>
        <v>5500</v>
      </c>
      <c r="I11" s="16" t="n">
        <f aca="false">Inputs!I50*IS!I7</f>
        <v>5978.214375</v>
      </c>
      <c r="J11" s="16" t="n">
        <f aca="false">Inputs!J50*IS!J7</f>
        <v>6486.362596875</v>
      </c>
      <c r="K11" s="16" t="n">
        <f aca="false">Inputs!K50*IS!K7</f>
        <v>7005.271604625</v>
      </c>
      <c r="L11" s="16" t="n">
        <f aca="false">Inputs!L50*IS!L7</f>
        <v>7530.66697497187</v>
      </c>
      <c r="M11" s="16" t="n">
        <f aca="false">Inputs!M50*IS!M7</f>
        <v>8057.81366321991</v>
      </c>
    </row>
    <row r="12" customFormat="false" ht="15" hidden="false" customHeight="false" outlineLevel="0" collapsed="false">
      <c r="B12" s="13" t="s">
        <v>153</v>
      </c>
      <c r="C12" s="19" t="s">
        <v>76</v>
      </c>
      <c r="H12" s="41" t="n">
        <f aca="false">SUM(H8:H11)</f>
        <v>59600</v>
      </c>
      <c r="I12" s="41" t="n">
        <f aca="false">SUM(I8:I11)</f>
        <v>62843.4290422126</v>
      </c>
      <c r="J12" s="41" t="n">
        <f aca="false">SUM(J8:J11)</f>
        <v>66300.288992455</v>
      </c>
      <c r="K12" s="41" t="n">
        <f aca="false">SUM(K8:K11)</f>
        <v>69925.2985286872</v>
      </c>
      <c r="L12" s="41" t="n">
        <f aca="false">SUM(L8:L11)</f>
        <v>73699.6609537534</v>
      </c>
      <c r="M12" s="41" t="n">
        <f aca="false">SUM(M8:M11)</f>
        <v>77730.6654718105</v>
      </c>
    </row>
    <row r="13" customFormat="false" ht="15" hidden="false" customHeight="false" outlineLevel="0" collapsed="false">
      <c r="B13" s="6" t="s">
        <v>124</v>
      </c>
      <c r="C13" s="19" t="s">
        <v>76</v>
      </c>
      <c r="H13" s="16" t="n">
        <f aca="false">Inputs!H59</f>
        <v>24000</v>
      </c>
      <c r="I13" s="16" t="n">
        <f aca="false">H13-CF!I16-IS!I14</f>
        <v>25109.833375</v>
      </c>
      <c r="J13" s="16" t="n">
        <f aca="false">I13-CF!J16-IS!J14</f>
        <v>26379.114250625</v>
      </c>
      <c r="K13" s="16" t="n">
        <f aca="false">J13-CF!K16-IS!K14</f>
        <v>27801.7030019063</v>
      </c>
      <c r="L13" s="16" t="n">
        <f aca="false">K13-CF!L16-IS!L14</f>
        <v>29369.8950467597</v>
      </c>
      <c r="M13" s="16" t="n">
        <f aca="false">L13-CF!M16-IS!M14</f>
        <v>31074.3154363225</v>
      </c>
    </row>
    <row r="14" customFormat="false" ht="15" hidden="false" customHeight="false" outlineLevel="0" collapsed="false">
      <c r="B14" s="6" t="s">
        <v>125</v>
      </c>
      <c r="C14" s="19" t="s">
        <v>76</v>
      </c>
      <c r="H14" s="16" t="n">
        <f aca="false">Inputs!H60</f>
        <v>6000</v>
      </c>
      <c r="I14" s="44" t="n">
        <f aca="false">H14</f>
        <v>6000</v>
      </c>
      <c r="J14" s="44" t="n">
        <f aca="false">I14</f>
        <v>6000</v>
      </c>
      <c r="K14" s="44" t="n">
        <f aca="false">J14</f>
        <v>6000</v>
      </c>
      <c r="L14" s="44" t="n">
        <f aca="false">K14</f>
        <v>6000</v>
      </c>
      <c r="M14" s="44" t="n">
        <f aca="false">L14</f>
        <v>6000</v>
      </c>
    </row>
    <row r="15" customFormat="false" ht="15" hidden="false" customHeight="false" outlineLevel="0" collapsed="false">
      <c r="B15" s="13" t="s">
        <v>154</v>
      </c>
      <c r="C15" s="19" t="s">
        <v>76</v>
      </c>
      <c r="H15" s="41" t="n">
        <f aca="false">H13+H14</f>
        <v>30000</v>
      </c>
      <c r="I15" s="41" t="n">
        <f aca="false">I13+I14</f>
        <v>31109.833375</v>
      </c>
      <c r="J15" s="41" t="n">
        <f aca="false">J13+J14</f>
        <v>32379.114250625</v>
      </c>
      <c r="K15" s="41" t="n">
        <f aca="false">K13+K14</f>
        <v>33801.7030019063</v>
      </c>
      <c r="L15" s="41" t="n">
        <f aca="false">L13+L14</f>
        <v>35369.8950467597</v>
      </c>
      <c r="M15" s="41" t="n">
        <f aca="false">M13+M14</f>
        <v>37074.3154363225</v>
      </c>
    </row>
    <row r="16" customFormat="false" ht="15" hidden="false" customHeight="false" outlineLevel="0" collapsed="false">
      <c r="B16" s="13" t="s">
        <v>155</v>
      </c>
      <c r="C16" s="19" t="s">
        <v>76</v>
      </c>
      <c r="H16" s="42" t="n">
        <f aca="false">H12+H15</f>
        <v>89600</v>
      </c>
      <c r="I16" s="42" t="n">
        <f aca="false">I12+I15</f>
        <v>93953.2624172126</v>
      </c>
      <c r="J16" s="42" t="n">
        <f aca="false">J12+J15</f>
        <v>98679.40324308</v>
      </c>
      <c r="K16" s="42" t="n">
        <f aca="false">K12+K15</f>
        <v>103727.001530593</v>
      </c>
      <c r="L16" s="42" t="n">
        <f aca="false">L12+L15</f>
        <v>109069.556000513</v>
      </c>
      <c r="M16" s="42" t="n">
        <f aca="false">M12+M15</f>
        <v>114804.980908133</v>
      </c>
    </row>
    <row r="18" customFormat="false" ht="15" hidden="false" customHeight="false" outlineLevel="0" collapsed="false">
      <c r="A18" s="3" t="s">
        <v>1</v>
      </c>
      <c r="B18" s="4" t="s">
        <v>156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B19" s="6" t="s">
        <v>129</v>
      </c>
      <c r="C19" s="19" t="s">
        <v>76</v>
      </c>
      <c r="H19" s="16" t="n">
        <f aca="false">Inputs!H64</f>
        <v>6500</v>
      </c>
      <c r="I19" s="16" t="n">
        <f aca="false">Inputs!I49*IS!I9/365</f>
        <v>7001.33526438356</v>
      </c>
      <c r="J19" s="16" t="n">
        <f aca="false">Inputs!J49*IS!J9/365</f>
        <v>7579.86262918836</v>
      </c>
      <c r="K19" s="16" t="n">
        <f aca="false">Inputs!K49*IS!K9/365</f>
        <v>8168.33861624219</v>
      </c>
      <c r="L19" s="16" t="n">
        <f aca="false">Inputs!L49*IS!L9/365</f>
        <v>8761.70751243303</v>
      </c>
      <c r="M19" s="16" t="n">
        <f aca="false">Inputs!M49*IS!M9/365</f>
        <v>9375.02703830334</v>
      </c>
    </row>
    <row r="20" customFormat="false" ht="15" hidden="false" customHeight="false" outlineLevel="0" collapsed="false">
      <c r="B20" s="6" t="s">
        <v>130</v>
      </c>
      <c r="C20" s="19" t="s">
        <v>76</v>
      </c>
      <c r="H20" s="16" t="n">
        <f aca="false">Inputs!H65</f>
        <v>9000</v>
      </c>
      <c r="I20" s="16" t="n">
        <f aca="false">Inputs!I51*IS!I7</f>
        <v>9804.271575</v>
      </c>
      <c r="J20" s="16" t="n">
        <f aca="false">Inputs!J51*IS!J7</f>
        <v>10637.634658875</v>
      </c>
      <c r="K20" s="16" t="n">
        <f aca="false">Inputs!K51*IS!K7</f>
        <v>11488.645431585</v>
      </c>
      <c r="L20" s="16" t="n">
        <f aca="false">Inputs!L51*IS!L7</f>
        <v>12350.2938389539</v>
      </c>
      <c r="M20" s="16" t="n">
        <f aca="false">Inputs!M51*IS!M7</f>
        <v>13214.8144076806</v>
      </c>
    </row>
    <row r="21" customFormat="false" ht="15" hidden="false" customHeight="false" outlineLevel="0" collapsed="false">
      <c r="B21" s="6" t="s">
        <v>131</v>
      </c>
      <c r="C21" s="19" t="s">
        <v>76</v>
      </c>
      <c r="H21" s="16" t="n">
        <f aca="false">Inputs!H66</f>
        <v>400</v>
      </c>
      <c r="I21" s="16" t="n">
        <f aca="false">MAX(0,H21-Inputs!I54)</f>
        <v>300</v>
      </c>
      <c r="J21" s="16" t="n">
        <f aca="false">MAX(0,I21-Inputs!J54)</f>
        <v>200</v>
      </c>
      <c r="K21" s="16" t="n">
        <f aca="false">MAX(0,J21-Inputs!K54)</f>
        <v>100</v>
      </c>
      <c r="L21" s="16" t="n">
        <f aca="false">MAX(0,K21-Inputs!L54)</f>
        <v>0</v>
      </c>
      <c r="M21" s="16" t="n">
        <f aca="false">MAX(0,L21-Inputs!M54)</f>
        <v>0</v>
      </c>
    </row>
    <row r="22" customFormat="false" ht="15" hidden="false" customHeight="false" outlineLevel="0" collapsed="false">
      <c r="B22" s="6" t="s">
        <v>132</v>
      </c>
      <c r="C22" s="19" t="s">
        <v>76</v>
      </c>
      <c r="H22" s="16" t="n">
        <f aca="false">Inputs!H67</f>
        <v>2000</v>
      </c>
      <c r="I22" s="44" t="n">
        <f aca="false">H22</f>
        <v>2000</v>
      </c>
      <c r="J22" s="44" t="n">
        <f aca="false">I22</f>
        <v>2000</v>
      </c>
      <c r="K22" s="44" t="n">
        <f aca="false">J22</f>
        <v>2000</v>
      </c>
      <c r="L22" s="44" t="n">
        <f aca="false">K22</f>
        <v>2000</v>
      </c>
      <c r="M22" s="44" t="n">
        <f aca="false">L22</f>
        <v>2000</v>
      </c>
    </row>
    <row r="23" customFormat="false" ht="15" hidden="false" customHeight="false" outlineLevel="0" collapsed="false">
      <c r="B23" s="13" t="s">
        <v>157</v>
      </c>
      <c r="C23" s="19" t="s">
        <v>76</v>
      </c>
      <c r="H23" s="41" t="n">
        <f aca="false">SUM(H19:H22)</f>
        <v>17900</v>
      </c>
      <c r="I23" s="41" t="n">
        <f aca="false">SUM(I19:I22)</f>
        <v>19105.6068393836</v>
      </c>
      <c r="J23" s="41" t="n">
        <f aca="false">SUM(J19:J22)</f>
        <v>20417.4972880634</v>
      </c>
      <c r="K23" s="41" t="n">
        <f aca="false">SUM(K19:K22)</f>
        <v>21756.9840478272</v>
      </c>
      <c r="L23" s="41" t="n">
        <f aca="false">SUM(L19:L22)</f>
        <v>23112.0013513869</v>
      </c>
      <c r="M23" s="41" t="n">
        <f aca="false">SUM(M19:M22)</f>
        <v>24589.841445984</v>
      </c>
    </row>
    <row r="24" customFormat="false" ht="15" hidden="false" customHeight="false" outlineLevel="0" collapsed="false">
      <c r="B24" s="13" t="s">
        <v>158</v>
      </c>
      <c r="C24" s="19" t="s">
        <v>76</v>
      </c>
      <c r="H24" s="45" t="n">
        <f aca="false">H16-H23</f>
        <v>71700</v>
      </c>
      <c r="I24" s="46" t="n">
        <f aca="false">H24+IS!I20+CF!I20</f>
        <v>74847.655577829</v>
      </c>
      <c r="J24" s="46" t="n">
        <f aca="false">I24+IS!J20+CF!J20</f>
        <v>78261.9059550166</v>
      </c>
      <c r="K24" s="46" t="n">
        <f aca="false">J24+IS!K20+CF!K20</f>
        <v>81970.0174827663</v>
      </c>
      <c r="L24" s="46" t="n">
        <f aca="false">K24+IS!L20+CF!L20</f>
        <v>85957.5546491262</v>
      </c>
      <c r="M24" s="46" t="n">
        <f aca="false">L24+IS!M20+CF!M20</f>
        <v>90215.139462149</v>
      </c>
    </row>
    <row r="25" customFormat="false" ht="15" hidden="false" customHeight="false" outlineLevel="0" collapsed="false">
      <c r="B25" s="13" t="s">
        <v>159</v>
      </c>
      <c r="C25" s="19" t="s">
        <v>76</v>
      </c>
      <c r="H25" s="42" t="n">
        <f aca="false">H23+H24</f>
        <v>89600</v>
      </c>
      <c r="I25" s="42" t="n">
        <f aca="false">I23+I24</f>
        <v>93953.2624172126</v>
      </c>
      <c r="J25" s="42" t="n">
        <f aca="false">J23+J24</f>
        <v>98679.40324308</v>
      </c>
      <c r="K25" s="42" t="n">
        <f aca="false">K23+K24</f>
        <v>103727.001530593</v>
      </c>
      <c r="L25" s="42" t="n">
        <f aca="false">L23+L24</f>
        <v>109069.556000513</v>
      </c>
      <c r="M25" s="42" t="n">
        <f aca="false">M23+M24</f>
        <v>114804.980908133</v>
      </c>
    </row>
    <row r="27" customFormat="false" ht="15" hidden="false" customHeight="false" outlineLevel="0" collapsed="false">
      <c r="B27" s="6" t="s">
        <v>160</v>
      </c>
      <c r="C27" s="19" t="s">
        <v>76</v>
      </c>
      <c r="H27" s="44" t="n">
        <f aca="false">ROUND(H16-H25,3)</f>
        <v>0</v>
      </c>
      <c r="I27" s="44" t="n">
        <f aca="false">ROUND(I16-I25,3)</f>
        <v>0</v>
      </c>
      <c r="J27" s="44" t="n">
        <f aca="false">ROUND(J16-J25,3)</f>
        <v>0</v>
      </c>
      <c r="K27" s="44" t="n">
        <f aca="false">ROUND(K16-K25,3)</f>
        <v>0</v>
      </c>
      <c r="L27" s="44" t="n">
        <f aca="false">ROUND(L16-L25,3)</f>
        <v>0</v>
      </c>
      <c r="M27" s="44" t="n">
        <f aca="false">ROUND(M16-M25,3)</f>
        <v>0</v>
      </c>
    </row>
    <row r="28" customFormat="false" ht="15" hidden="false" customHeight="false" outlineLevel="0" collapsed="false">
      <c r="B28" s="6" t="s">
        <v>161</v>
      </c>
      <c r="C28" s="19"/>
      <c r="H28" s="35" t="str">
        <f aca="false">IF(ABS(H27)&lt;0.001,"OK","ERROR")</f>
        <v>OK</v>
      </c>
      <c r="I28" s="35" t="str">
        <f aca="false">IF(ABS(I27)&lt;0.001,"OK","ERROR")</f>
        <v>OK</v>
      </c>
      <c r="J28" s="35" t="str">
        <f aca="false">IF(ABS(J27)&lt;0.001,"OK","ERROR")</f>
        <v>OK</v>
      </c>
      <c r="K28" s="35" t="str">
        <f aca="false">IF(ABS(K27)&lt;0.001,"OK","ERROR")</f>
        <v>OK</v>
      </c>
      <c r="L28" s="35" t="str">
        <f aca="false">IF(ABS(L27)&lt;0.001,"OK","ERROR")</f>
        <v>OK</v>
      </c>
      <c r="M28" s="35" t="str">
        <f aca="false">IF(ABS(M27)&lt;0.001,"OK","ERROR")</f>
        <v>OK</v>
      </c>
    </row>
  </sheetData>
  <conditionalFormatting sqref="H28:M28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"ERROR"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2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1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13" min="4" style="0" width="11.5"/>
  </cols>
  <sheetData>
    <row r="2" customFormat="false" ht="19.7" hidden="false" customHeight="false" outlineLevel="0" collapsed="false">
      <c r="B2" s="18" t="str">
        <f aca="false">"Cash Flow Statement - "&amp;Inputs!$D$5</f>
        <v>Cash Flow Statement - ITC Limited</v>
      </c>
    </row>
    <row r="3" customFormat="false" ht="15" hidden="false" customHeight="false" outlineLevel="0" collapsed="false">
      <c r="B3" s="2" t="str">
        <f aca="false">Inputs!$D$6&amp;"  |  Scenario: "&amp;Inputs!$D$9</f>
        <v>INR crore (Rs cr)  |  Scenario: Base</v>
      </c>
    </row>
    <row r="5" customFormat="false" ht="15" hidden="false" customHeight="false" outlineLevel="0" collapsed="false">
      <c r="B5" s="28" t="s">
        <v>72</v>
      </c>
      <c r="C5" s="29" t="s">
        <v>73</v>
      </c>
      <c r="D5" s="30" t="n">
        <f aca="false">Inputs!$D$7</f>
        <v>2021</v>
      </c>
      <c r="E5" s="30" t="n">
        <f aca="false">D5+1</f>
        <v>2022</v>
      </c>
      <c r="F5" s="30" t="n">
        <f aca="false">E5+1</f>
        <v>2023</v>
      </c>
      <c r="G5" s="30" t="n">
        <f aca="false">F5+1</f>
        <v>2024</v>
      </c>
      <c r="H5" s="30" t="n">
        <f aca="false">G5+1</f>
        <v>2025</v>
      </c>
      <c r="I5" s="31" t="n">
        <f aca="false">H5+1</f>
        <v>2026</v>
      </c>
      <c r="J5" s="31" t="n">
        <f aca="false">I5+1</f>
        <v>2027</v>
      </c>
      <c r="K5" s="31" t="n">
        <f aca="false">J5+1</f>
        <v>2028</v>
      </c>
      <c r="L5" s="31" t="n">
        <f aca="false">K5+1</f>
        <v>2029</v>
      </c>
      <c r="M5" s="31" t="n">
        <f aca="false">L5+1</f>
        <v>2030</v>
      </c>
    </row>
    <row r="6" customFormat="false" ht="15" hidden="false" customHeight="false" outlineLevel="0" collapsed="false">
      <c r="A6" s="3" t="s">
        <v>1</v>
      </c>
      <c r="B6" s="4" t="s">
        <v>162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5" hidden="false" customHeight="false" outlineLevel="0" collapsed="false">
      <c r="B7" s="6" t="s">
        <v>141</v>
      </c>
      <c r="C7" s="19" t="s">
        <v>76</v>
      </c>
      <c r="I7" s="16" t="n">
        <f aca="false">IS!I20</f>
        <v>20984.37051886</v>
      </c>
      <c r="J7" s="16" t="n">
        <f aca="false">IS!J20</f>
        <v>22761.669181251</v>
      </c>
      <c r="K7" s="16" t="n">
        <f aca="false">IS!K20</f>
        <v>24720.7435183308</v>
      </c>
      <c r="L7" s="16" t="n">
        <f aca="false">IS!L20</f>
        <v>26583.5811090661</v>
      </c>
      <c r="M7" s="16" t="n">
        <f aca="false">IS!M20</f>
        <v>28383.8987534852</v>
      </c>
    </row>
    <row r="8" customFormat="false" ht="15" hidden="false" customHeight="false" outlineLevel="0" collapsed="false">
      <c r="B8" s="6" t="s">
        <v>163</v>
      </c>
      <c r="C8" s="19" t="s">
        <v>76</v>
      </c>
      <c r="I8" s="16" t="n">
        <f aca="false">IS!I14</f>
        <v>1680</v>
      </c>
      <c r="J8" s="16" t="n">
        <f aca="false">IS!J14</f>
        <v>1757.68833625</v>
      </c>
      <c r="K8" s="16" t="n">
        <f aca="false">IS!K14</f>
        <v>1846.53799754375</v>
      </c>
      <c r="L8" s="16" t="n">
        <f aca="false">IS!L14</f>
        <v>1946.11921013344</v>
      </c>
      <c r="M8" s="16" t="n">
        <f aca="false">IS!M14</f>
        <v>2055.89265327318</v>
      </c>
    </row>
    <row r="9" customFormat="false" ht="15" hidden="false" customHeight="false" outlineLevel="0" collapsed="false">
      <c r="B9" s="6" t="s">
        <v>164</v>
      </c>
      <c r="C9" s="19" t="s">
        <v>76</v>
      </c>
      <c r="I9" s="16" t="n">
        <f aca="false">BS!H10-BS!I10</f>
        <v>-330.880684931507</v>
      </c>
      <c r="J9" s="16" t="n">
        <f aca="false">BS!I10-BS!J10</f>
        <v>-334.124858219177</v>
      </c>
      <c r="K9" s="16" t="n">
        <f aca="false">BS!J10-BS!K10</f>
        <v>-341.200443452055</v>
      </c>
      <c r="L9" s="16" t="n">
        <f aca="false">BS!K10-BS!L10</f>
        <v>-345.465448995205</v>
      </c>
      <c r="M9" s="16" t="n">
        <f aca="false">BS!L10-BS!M10</f>
        <v>-346.617000491857</v>
      </c>
    </row>
    <row r="10" customFormat="false" ht="15" hidden="false" customHeight="false" outlineLevel="0" collapsed="false">
      <c r="B10" s="6" t="s">
        <v>165</v>
      </c>
      <c r="C10" s="19" t="s">
        <v>76</v>
      </c>
      <c r="I10" s="16" t="n">
        <f aca="false">BS!H9-BS!I9</f>
        <v>-1002.57515273973</v>
      </c>
      <c r="J10" s="16" t="n">
        <f aca="false">BS!I9-BS!J9</f>
        <v>-1115.73134640925</v>
      </c>
      <c r="K10" s="16" t="n">
        <f aca="false">BS!J9-BS!K9</f>
        <v>-1134.9179750324</v>
      </c>
      <c r="L10" s="16" t="n">
        <f aca="false">BS!K9-BS!L9</f>
        <v>-1144.35429979662</v>
      </c>
      <c r="M10" s="16" t="n">
        <f aca="false">BS!L9-BS!M9</f>
        <v>-1182.83051417846</v>
      </c>
    </row>
    <row r="11" customFormat="false" ht="15" hidden="false" customHeight="false" outlineLevel="0" collapsed="false">
      <c r="B11" s="6" t="s">
        <v>166</v>
      </c>
      <c r="C11" s="19" t="s">
        <v>76</v>
      </c>
      <c r="I11" s="16" t="n">
        <f aca="false">BS!H11-BS!I11</f>
        <v>-478.214375</v>
      </c>
      <c r="J11" s="16" t="n">
        <f aca="false">BS!I11-BS!J11</f>
        <v>-508.148221875</v>
      </c>
      <c r="K11" s="16" t="n">
        <f aca="false">BS!J11-BS!K11</f>
        <v>-518.909007750001</v>
      </c>
      <c r="L11" s="16" t="n">
        <f aca="false">BS!K11-BS!L11</f>
        <v>-525.395370346874</v>
      </c>
      <c r="M11" s="16" t="n">
        <f aca="false">BS!L11-BS!M11</f>
        <v>-527.146688248032</v>
      </c>
    </row>
    <row r="12" customFormat="false" ht="15" hidden="false" customHeight="false" outlineLevel="0" collapsed="false">
      <c r="B12" s="6" t="s">
        <v>167</v>
      </c>
      <c r="C12" s="19" t="s">
        <v>76</v>
      </c>
      <c r="I12" s="16" t="n">
        <f aca="false">BS!I19-BS!H19</f>
        <v>501.335264383562</v>
      </c>
      <c r="J12" s="16" t="n">
        <f aca="false">BS!J19-BS!I19</f>
        <v>578.527364804794</v>
      </c>
      <c r="K12" s="16" t="n">
        <f aca="false">BS!K19-BS!J19</f>
        <v>588.475987053836</v>
      </c>
      <c r="L12" s="16" t="n">
        <f aca="false">BS!L19-BS!K19</f>
        <v>593.368896190837</v>
      </c>
      <c r="M12" s="16" t="n">
        <f aca="false">BS!M19-BS!L19</f>
        <v>613.319525870313</v>
      </c>
    </row>
    <row r="13" customFormat="false" ht="15" hidden="false" customHeight="false" outlineLevel="0" collapsed="false">
      <c r="B13" s="6" t="s">
        <v>168</v>
      </c>
      <c r="C13" s="19" t="s">
        <v>76</v>
      </c>
      <c r="I13" s="16" t="n">
        <f aca="false">BS!I20-BS!H20</f>
        <v>804.271574999999</v>
      </c>
      <c r="J13" s="16" t="n">
        <f aca="false">BS!J20-BS!I20</f>
        <v>833.363083875</v>
      </c>
      <c r="K13" s="16" t="n">
        <f aca="false">BS!K20-BS!J20</f>
        <v>851.01077271</v>
      </c>
      <c r="L13" s="16" t="n">
        <f aca="false">BS!L20-BS!K20</f>
        <v>861.648407368875</v>
      </c>
      <c r="M13" s="16" t="n">
        <f aca="false">BS!M20-BS!L20</f>
        <v>864.520568726772</v>
      </c>
    </row>
    <row r="14" customFormat="false" ht="15" hidden="false" customHeight="false" outlineLevel="0" collapsed="false">
      <c r="B14" s="13" t="s">
        <v>169</v>
      </c>
      <c r="C14" s="19" t="s">
        <v>76</v>
      </c>
      <c r="I14" s="41" t="n">
        <f aca="false">SUM(I7:I13)</f>
        <v>22158.3071455723</v>
      </c>
      <c r="J14" s="41" t="n">
        <f aca="false">SUM(J7:J13)</f>
        <v>23973.2435396773</v>
      </c>
      <c r="K14" s="41" t="n">
        <f aca="false">SUM(K7:K13)</f>
        <v>26011.740849404</v>
      </c>
      <c r="L14" s="41" t="n">
        <f aca="false">SUM(L7:L13)</f>
        <v>27969.5025036206</v>
      </c>
      <c r="M14" s="41" t="n">
        <f aca="false">SUM(M7:M13)</f>
        <v>29861.0372984371</v>
      </c>
    </row>
    <row r="15" customFormat="false" ht="15" hidden="false" customHeight="false" outlineLevel="0" collapsed="false">
      <c r="A15" s="3" t="s">
        <v>1</v>
      </c>
      <c r="B15" s="4" t="s">
        <v>170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customFormat="false" ht="15" hidden="false" customHeight="false" outlineLevel="0" collapsed="false">
      <c r="B16" s="6" t="s">
        <v>171</v>
      </c>
      <c r="C16" s="19" t="s">
        <v>76</v>
      </c>
      <c r="I16" s="16" t="n">
        <f aca="false">-Inputs!I46*IS!I7</f>
        <v>-2789.833375</v>
      </c>
      <c r="J16" s="16" t="n">
        <f aca="false">-Inputs!J46*IS!J7</f>
        <v>-3026.969211875</v>
      </c>
      <c r="K16" s="16" t="n">
        <f aca="false">-Inputs!K46*IS!K7</f>
        <v>-3269.126748825</v>
      </c>
      <c r="L16" s="16" t="n">
        <f aca="false">-Inputs!L46*IS!L7</f>
        <v>-3514.31125498688</v>
      </c>
      <c r="M16" s="16" t="n">
        <f aca="false">-Inputs!M46*IS!M7</f>
        <v>-3760.31304283596</v>
      </c>
    </row>
    <row r="17" customFormat="false" ht="15" hidden="false" customHeight="false" outlineLevel="0" collapsed="false">
      <c r="B17" s="13" t="s">
        <v>172</v>
      </c>
      <c r="C17" s="19" t="s">
        <v>76</v>
      </c>
      <c r="I17" s="41" t="n">
        <f aca="false">I16</f>
        <v>-2789.833375</v>
      </c>
      <c r="J17" s="41" t="n">
        <f aca="false">J16</f>
        <v>-3026.969211875</v>
      </c>
      <c r="K17" s="41" t="n">
        <f aca="false">K16</f>
        <v>-3269.126748825</v>
      </c>
      <c r="L17" s="41" t="n">
        <f aca="false">L16</f>
        <v>-3514.31125498688</v>
      </c>
      <c r="M17" s="41" t="n">
        <f aca="false">M16</f>
        <v>-3760.31304283596</v>
      </c>
    </row>
    <row r="18" customFormat="false" ht="15" hidden="false" customHeight="false" outlineLevel="0" collapsed="false">
      <c r="A18" s="3" t="s">
        <v>1</v>
      </c>
      <c r="B18" s="4" t="s">
        <v>173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customFormat="false" ht="15" hidden="false" customHeight="false" outlineLevel="0" collapsed="false">
      <c r="B19" s="6" t="s">
        <v>174</v>
      </c>
      <c r="C19" s="19" t="s">
        <v>76</v>
      </c>
      <c r="I19" s="16" t="n">
        <f aca="false">BS!I21-BS!H21</f>
        <v>-100</v>
      </c>
      <c r="J19" s="16" t="n">
        <f aca="false">BS!J21-BS!I21</f>
        <v>-100</v>
      </c>
      <c r="K19" s="16" t="n">
        <f aca="false">BS!K21-BS!J21</f>
        <v>-100</v>
      </c>
      <c r="L19" s="16" t="n">
        <f aca="false">BS!L21-BS!K21</f>
        <v>-100</v>
      </c>
      <c r="M19" s="16" t="n">
        <f aca="false">BS!M21-BS!L21</f>
        <v>0</v>
      </c>
    </row>
    <row r="20" customFormat="false" ht="15" hidden="false" customHeight="false" outlineLevel="0" collapsed="false">
      <c r="B20" s="6" t="s">
        <v>175</v>
      </c>
      <c r="C20" s="19" t="s">
        <v>76</v>
      </c>
      <c r="I20" s="16" t="n">
        <f aca="false">-IS!I20*Inputs!$D$14</f>
        <v>-17836.714941031</v>
      </c>
      <c r="J20" s="16" t="n">
        <f aca="false">-IS!J20*Inputs!$D$14</f>
        <v>-19347.4188040633</v>
      </c>
      <c r="K20" s="16" t="n">
        <f aca="false">-IS!K20*Inputs!$D$14</f>
        <v>-21012.6319905812</v>
      </c>
      <c r="L20" s="16" t="n">
        <f aca="false">-IS!L20*Inputs!$D$14</f>
        <v>-22596.0439427062</v>
      </c>
      <c r="M20" s="16" t="n">
        <f aca="false">-IS!M20*Inputs!$D$14</f>
        <v>-24126.3139404624</v>
      </c>
    </row>
    <row r="21" customFormat="false" ht="15" hidden="false" customHeight="false" outlineLevel="0" collapsed="false">
      <c r="B21" s="13" t="s">
        <v>176</v>
      </c>
      <c r="C21" s="19" t="s">
        <v>76</v>
      </c>
      <c r="I21" s="41" t="n">
        <f aca="false">I19+I20</f>
        <v>-17936.714941031</v>
      </c>
      <c r="J21" s="41" t="n">
        <f aca="false">J19+J20</f>
        <v>-19447.4188040633</v>
      </c>
      <c r="K21" s="41" t="n">
        <f aca="false">K19+K20</f>
        <v>-21112.6319905812</v>
      </c>
      <c r="L21" s="41" t="n">
        <f aca="false">L19+L20</f>
        <v>-22696.0439427062</v>
      </c>
      <c r="M21" s="41" t="n">
        <f aca="false">M19+M20</f>
        <v>-24126.3139404624</v>
      </c>
    </row>
    <row r="22" customFormat="false" ht="15" hidden="false" customHeight="false" outlineLevel="0" collapsed="false">
      <c r="A22" s="3" t="s">
        <v>1</v>
      </c>
      <c r="B22" s="4" t="s">
        <v>177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customFormat="false" ht="15" hidden="false" customHeight="false" outlineLevel="0" collapsed="false">
      <c r="B23" s="13" t="s">
        <v>178</v>
      </c>
      <c r="C23" s="19" t="s">
        <v>76</v>
      </c>
      <c r="I23" s="41" t="n">
        <f aca="false">I14+I17+I21</f>
        <v>1431.75882954133</v>
      </c>
      <c r="J23" s="41" t="n">
        <f aca="false">J14+J17+J21</f>
        <v>1498.85552373902</v>
      </c>
      <c r="K23" s="41" t="n">
        <f aca="false">K14+K17+K21</f>
        <v>1629.98210999776</v>
      </c>
      <c r="L23" s="41" t="n">
        <f aca="false">L14+L17+L21</f>
        <v>1759.1473059275</v>
      </c>
      <c r="M23" s="41" t="n">
        <f aca="false">M14+M17+M21</f>
        <v>1974.41031513874</v>
      </c>
    </row>
    <row r="24" customFormat="false" ht="15" hidden="false" customHeight="false" outlineLevel="0" collapsed="false">
      <c r="B24" s="6" t="s">
        <v>179</v>
      </c>
      <c r="C24" s="19" t="s">
        <v>76</v>
      </c>
      <c r="I24" s="16" t="n">
        <f aca="false">BS!H8</f>
        <v>38000</v>
      </c>
      <c r="J24" s="16" t="n">
        <f aca="false">BS!I8</f>
        <v>39431.7588295413</v>
      </c>
      <c r="K24" s="16" t="n">
        <f aca="false">BS!J8</f>
        <v>40930.6143532804</v>
      </c>
      <c r="L24" s="16" t="n">
        <f aca="false">BS!K8</f>
        <v>42560.5964632781</v>
      </c>
      <c r="M24" s="16" t="n">
        <f aca="false">BS!L8</f>
        <v>44319.7437692056</v>
      </c>
    </row>
    <row r="25" customFormat="false" ht="15" hidden="false" customHeight="false" outlineLevel="0" collapsed="false">
      <c r="B25" s="13" t="s">
        <v>180</v>
      </c>
      <c r="C25" s="19" t="s">
        <v>76</v>
      </c>
      <c r="I25" s="42" t="n">
        <f aca="false">I24+I23</f>
        <v>39431.7588295413</v>
      </c>
      <c r="J25" s="42" t="n">
        <f aca="false">J24+J23</f>
        <v>40930.6143532804</v>
      </c>
      <c r="K25" s="42" t="n">
        <f aca="false">K24+K23</f>
        <v>42560.5964632781</v>
      </c>
      <c r="L25" s="42" t="n">
        <f aca="false">L24+L23</f>
        <v>44319.7437692056</v>
      </c>
      <c r="M25" s="42" t="n">
        <f aca="false">M24+M23</f>
        <v>46294.1540843443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2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1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13" min="4" style="0" width="11.5"/>
  </cols>
  <sheetData>
    <row r="2" customFormat="false" ht="19.7" hidden="false" customHeight="false" outlineLevel="0" collapsed="false">
      <c r="B2" s="18" t="str">
        <f aca="false">"Ratio Analysis - "&amp;Inputs!$D$5</f>
        <v>Ratio Analysis - ITC Limited</v>
      </c>
    </row>
    <row r="3" customFormat="false" ht="15" hidden="false" customHeight="false" outlineLevel="0" collapsed="false">
      <c r="B3" s="2" t="str">
        <f aca="false">Inputs!$D$6&amp;"  |  Scenario: "&amp;Inputs!$D$9</f>
        <v>INR crore (Rs cr)  |  Scenario: Base</v>
      </c>
    </row>
    <row r="5" customFormat="false" ht="15" hidden="false" customHeight="false" outlineLevel="0" collapsed="false">
      <c r="B5" s="28" t="s">
        <v>72</v>
      </c>
      <c r="C5" s="29" t="s">
        <v>73</v>
      </c>
      <c r="D5" s="30" t="n">
        <f aca="false">Inputs!$D$7</f>
        <v>2021</v>
      </c>
      <c r="E5" s="30" t="n">
        <f aca="false">D5+1</f>
        <v>2022</v>
      </c>
      <c r="F5" s="30" t="n">
        <f aca="false">E5+1</f>
        <v>2023</v>
      </c>
      <c r="G5" s="30" t="n">
        <f aca="false">F5+1</f>
        <v>2024</v>
      </c>
      <c r="H5" s="30" t="n">
        <f aca="false">G5+1</f>
        <v>2025</v>
      </c>
      <c r="I5" s="31" t="n">
        <f aca="false">H5+1</f>
        <v>2026</v>
      </c>
      <c r="J5" s="31" t="n">
        <f aca="false">I5+1</f>
        <v>2027</v>
      </c>
      <c r="K5" s="31" t="n">
        <f aca="false">J5+1</f>
        <v>2028</v>
      </c>
      <c r="L5" s="31" t="n">
        <f aca="false">K5+1</f>
        <v>2029</v>
      </c>
      <c r="M5" s="31" t="n">
        <f aca="false">L5+1</f>
        <v>2030</v>
      </c>
    </row>
    <row r="7" customFormat="false" ht="15" hidden="false" customHeight="false" outlineLevel="0" collapsed="false">
      <c r="A7" s="3" t="s">
        <v>1</v>
      </c>
      <c r="B7" s="4" t="s">
        <v>181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15" hidden="false" customHeight="false" outlineLevel="0" collapsed="false">
      <c r="B8" s="6" t="s">
        <v>92</v>
      </c>
      <c r="C8" s="19" t="s">
        <v>89</v>
      </c>
      <c r="E8" s="17" t="n">
        <f aca="false">IS!E8</f>
        <v>0.226976415877761</v>
      </c>
      <c r="F8" s="17" t="n">
        <f aca="false">IS!F8</f>
        <v>0.175039339435881</v>
      </c>
      <c r="G8" s="17" t="n">
        <f aca="false">IS!G8</f>
        <v>0.0204619416525069</v>
      </c>
      <c r="H8" s="17" t="n">
        <f aca="false">IS!H8</f>
        <v>0.0366602226706365</v>
      </c>
      <c r="I8" s="17" t="n">
        <f aca="false">IS!I8</f>
        <v>0.085</v>
      </c>
      <c r="J8" s="17" t="n">
        <f aca="false">IS!J8</f>
        <v>0.085</v>
      </c>
      <c r="K8" s="17" t="n">
        <f aca="false">IS!K8</f>
        <v>0.0800000000000001</v>
      </c>
      <c r="L8" s="17" t="n">
        <f aca="false">IS!L8</f>
        <v>0.075</v>
      </c>
      <c r="M8" s="17" t="n">
        <f aca="false">IS!M8</f>
        <v>0.0700000000000001</v>
      </c>
    </row>
    <row r="9" customFormat="false" ht="15" hidden="false" customHeight="false" outlineLevel="0" collapsed="false">
      <c r="B9" s="6" t="s">
        <v>147</v>
      </c>
      <c r="C9" s="19" t="s">
        <v>89</v>
      </c>
      <c r="D9" s="17" t="n">
        <f aca="false">IS!D13/IS!D7</f>
        <v>0.318261086198306</v>
      </c>
      <c r="E9" s="17" t="n">
        <f aca="false">IS!E13/IS!E7</f>
        <v>0.320366829664473</v>
      </c>
      <c r="F9" s="17" t="n">
        <f aca="false">IS!F13/IS!F7</f>
        <v>0.32356075223915</v>
      </c>
      <c r="G9" s="17" t="n">
        <f aca="false">IS!G13/IS!G7</f>
        <v>0.325257171885363</v>
      </c>
      <c r="H9" s="17" t="n">
        <f aca="false">IS!H13/IS!H7</f>
        <v>0.327026475192268</v>
      </c>
      <c r="I9" s="17" t="n">
        <f aca="false">IS!I13/IS!I7</f>
        <v>0.328</v>
      </c>
      <c r="J9" s="17" t="n">
        <f aca="false">IS!J13/IS!J7</f>
        <v>0.329</v>
      </c>
      <c r="K9" s="17" t="n">
        <f aca="false">IS!K13/IS!K7</f>
        <v>0.332</v>
      </c>
      <c r="L9" s="17" t="n">
        <f aca="false">IS!L13/IS!L7</f>
        <v>0.333</v>
      </c>
      <c r="M9" s="17" t="n">
        <f aca="false">IS!M13/IS!M7</f>
        <v>0.333</v>
      </c>
    </row>
    <row r="10" customFormat="false" ht="15" hidden="false" customHeight="false" outlineLevel="0" collapsed="false">
      <c r="B10" s="6" t="s">
        <v>149</v>
      </c>
      <c r="C10" s="19" t="s">
        <v>89</v>
      </c>
      <c r="D10" s="17" t="n">
        <f aca="false">IS!D15/IS!D7</f>
        <v>0.288158113270221</v>
      </c>
      <c r="E10" s="17" t="n">
        <f aca="false">IS!E15/IS!E7</f>
        <v>0.292448520329605</v>
      </c>
      <c r="F10" s="17" t="n">
        <f aca="false">IS!F15/IS!F7</f>
        <v>0.299801284451228</v>
      </c>
      <c r="G10" s="17" t="n">
        <f aca="false">IS!G15/IS!G7</f>
        <v>0.301268573525054</v>
      </c>
      <c r="H10" s="17" t="n">
        <f aca="false">IS!H15/IS!H7</f>
        <v>0.303205608112707</v>
      </c>
      <c r="I10" s="17" t="n">
        <f aca="false">IS!I15/IS!I7</f>
        <v>0.306923472445733</v>
      </c>
      <c r="J10" s="17" t="n">
        <f aca="false">IS!J15/IS!J7</f>
        <v>0.308676340437357</v>
      </c>
      <c r="K10" s="17" t="n">
        <f aca="false">IS!K15/IS!K7</f>
        <v>0.31223055241365</v>
      </c>
      <c r="L10" s="17" t="n">
        <f aca="false">IS!L15/IS!L7</f>
        <v>0.31361805929739</v>
      </c>
      <c r="M10" s="17" t="n">
        <f aca="false">IS!M15/IS!M7</f>
        <v>0.313864294529507</v>
      </c>
    </row>
    <row r="11" customFormat="false" ht="15" hidden="false" customHeight="false" outlineLevel="0" collapsed="false">
      <c r="B11" s="6" t="s">
        <v>151</v>
      </c>
      <c r="C11" s="19" t="s">
        <v>89</v>
      </c>
      <c r="D11" s="17" t="n">
        <f aca="false">IS!D20/IS!D7</f>
        <v>0.260350232519515</v>
      </c>
      <c r="E11" s="17" t="n">
        <f aca="false">IS!E20/IS!E7</f>
        <v>0.254786595827482</v>
      </c>
      <c r="F11" s="17" t="n">
        <f aca="false">IS!F20/IS!F7</f>
        <v>0.259508827002275</v>
      </c>
      <c r="G11" s="17" t="n">
        <f aca="false">IS!G20/IS!G7</f>
        <v>0.264159975729183</v>
      </c>
      <c r="H11" s="17" t="n">
        <f aca="false">IS!H20/IS!H7</f>
        <v>0.267212346015109</v>
      </c>
      <c r="I11" s="17" t="n">
        <f aca="false">IS!I20/IS!I7</f>
        <v>0.26326051395815</v>
      </c>
      <c r="J11" s="17" t="n">
        <f aca="false">IS!J20/IS!J7</f>
        <v>0.263186826684077</v>
      </c>
      <c r="K11" s="17" t="n">
        <f aca="false">IS!K20/IS!K7</f>
        <v>0.264665792922395</v>
      </c>
      <c r="L11" s="17" t="n">
        <f aca="false">IS!L20/IS!L7</f>
        <v>0.264753253570532</v>
      </c>
      <c r="M11" s="17" t="n">
        <f aca="false">IS!M20/IS!M7</f>
        <v>0.264189828095469</v>
      </c>
    </row>
    <row r="12" customFormat="false" ht="15" hidden="false" customHeight="false" outlineLevel="0" collapsed="false">
      <c r="B12" s="6" t="s">
        <v>142</v>
      </c>
      <c r="C12" s="19" t="s">
        <v>143</v>
      </c>
      <c r="D12" s="43" t="n">
        <f aca="false">IS!D21</f>
        <v>10.0244204636291</v>
      </c>
      <c r="E12" s="43" t="n">
        <f aca="false">IS!E21</f>
        <v>12.0368845723421</v>
      </c>
      <c r="F12" s="43" t="n">
        <f aca="false">IS!F21</f>
        <v>14.4059552358114</v>
      </c>
      <c r="G12" s="43" t="n">
        <f aca="false">IS!G21</f>
        <v>14.9642086330935</v>
      </c>
      <c r="H12" s="43" t="n">
        <f aca="false">IS!H21</f>
        <v>15.6920503597122</v>
      </c>
      <c r="I12" s="43" t="n">
        <f aca="false">IS!I21</f>
        <v>16.7740771533653</v>
      </c>
      <c r="J12" s="43" t="n">
        <f aca="false">IS!J21</f>
        <v>18.1947795213837</v>
      </c>
      <c r="K12" s="43" t="n">
        <f aca="false">IS!K21</f>
        <v>19.7607861857161</v>
      </c>
      <c r="L12" s="43" t="n">
        <f aca="false">IS!L21</f>
        <v>21.2498649952567</v>
      </c>
      <c r="M12" s="43" t="n">
        <f aca="false">IS!M21</f>
        <v>22.6889678285253</v>
      </c>
    </row>
    <row r="13" customFormat="false" ht="15" hidden="false" customHeight="false" outlineLevel="0" collapsed="false">
      <c r="B13" s="6" t="s">
        <v>182</v>
      </c>
      <c r="C13" s="19" t="s">
        <v>89</v>
      </c>
      <c r="E13" s="17" t="n">
        <f aca="false">IS!E21/IS!D21-1</f>
        <v>0.200756155033073</v>
      </c>
      <c r="F13" s="17" t="n">
        <f aca="false">IS!F21/IS!E21-1</f>
        <v>0.196817594223075</v>
      </c>
      <c r="G13" s="17" t="n">
        <f aca="false">IS!G21/IS!F21-1</f>
        <v>0.0387515710096356</v>
      </c>
      <c r="H13" s="17" t="n">
        <f aca="false">IS!H21/IS!G21-1</f>
        <v>0.0486388384754992</v>
      </c>
      <c r="I13" s="17" t="n">
        <f aca="false">IS!I21/IS!H21-1</f>
        <v>0.06895381858008</v>
      </c>
      <c r="J13" s="17" t="n">
        <f aca="false">IS!J21/IS!I21-1</f>
        <v>0.084696305795477</v>
      </c>
      <c r="K13" s="17" t="n">
        <f aca="false">IS!K21/IS!J21-1</f>
        <v>0.0860690102065793</v>
      </c>
      <c r="L13" s="17" t="n">
        <f aca="false">IS!L21/IS!K21-1</f>
        <v>0.0753552412108476</v>
      </c>
      <c r="M13" s="17" t="n">
        <f aca="false">IS!M21/IS!L21-1</f>
        <v>0.0677229165262849</v>
      </c>
    </row>
    <row r="14" customFormat="false" ht="15" hidden="false" customHeight="false" outlineLevel="0" collapsed="false">
      <c r="A14" s="3" t="s">
        <v>1</v>
      </c>
      <c r="B14" s="4" t="s">
        <v>183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customFormat="false" ht="15" hidden="false" customHeight="false" outlineLevel="0" collapsed="false">
      <c r="B15" s="6" t="s">
        <v>184</v>
      </c>
      <c r="C15" s="19" t="s">
        <v>89</v>
      </c>
      <c r="I15" s="17" t="n">
        <f aca="false">IS!I20/AVERAGE(BS!H24:I24)</f>
        <v>0.286382889390074</v>
      </c>
      <c r="J15" s="17" t="n">
        <f aca="false">IS!J20/AVERAGE(BS!I24:J24)</f>
        <v>0.297325248056021</v>
      </c>
      <c r="K15" s="17" t="n">
        <f aca="false">IS!K20/AVERAGE(BS!J24:K24)</f>
        <v>0.308562026691638</v>
      </c>
      <c r="L15" s="17" t="n">
        <f aca="false">IS!L20/AVERAGE(BS!K24:L24)</f>
        <v>0.316607699040478</v>
      </c>
      <c r="M15" s="17" t="n">
        <f aca="false">IS!M20/AVERAGE(BS!L24:M24)</f>
        <v>0.322228128447161</v>
      </c>
    </row>
    <row r="16" customFormat="false" ht="15" hidden="false" customHeight="false" outlineLevel="0" collapsed="false">
      <c r="B16" s="6" t="s">
        <v>185</v>
      </c>
      <c r="C16" s="19" t="s">
        <v>89</v>
      </c>
      <c r="H16" s="17" t="n">
        <f aca="false">IS!H15/(BS!H24+BS!H21)</f>
        <v>0.308945908460472</v>
      </c>
      <c r="I16" s="17" t="n">
        <f aca="false">IS!I15/(BS!I24+BS!I21)</f>
        <v>0.325555388413446</v>
      </c>
      <c r="J16" s="17" t="n">
        <f aca="false">IS!J15/(BS!J24+BS!J21)</f>
        <v>0.340239278289774</v>
      </c>
      <c r="K16" s="17" t="n">
        <f aca="false">IS!K15/(BS!K24+BS!K21)</f>
        <v>0.35534858161472</v>
      </c>
      <c r="L16" s="17" t="n">
        <f aca="false">IS!L15/(BS!L24+BS!L21)</f>
        <v>0.366344090258061</v>
      </c>
      <c r="M16" s="17" t="n">
        <f aca="false">IS!M15/(BS!M24+BS!M21)</f>
        <v>0.373782052684974</v>
      </c>
    </row>
    <row r="17" customFormat="false" ht="15" hidden="false" customHeight="false" outlineLevel="0" collapsed="false">
      <c r="A17" s="3" t="s">
        <v>1</v>
      </c>
      <c r="B17" s="4" t="s">
        <v>186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customFormat="false" ht="15" hidden="false" customHeight="false" outlineLevel="0" collapsed="false">
      <c r="B18" s="6" t="s">
        <v>187</v>
      </c>
      <c r="C18" s="19" t="s">
        <v>188</v>
      </c>
      <c r="H18" s="47" t="n">
        <f aca="false">BS!H12/(BS!H19+BS!H20)</f>
        <v>3.84516129032258</v>
      </c>
      <c r="I18" s="47" t="n">
        <f aca="false">BS!I12/(BS!I19+BS!I20)</f>
        <v>3.73943230035231</v>
      </c>
      <c r="J18" s="47" t="n">
        <f aca="false">BS!J12/(BS!J19+BS!J20)</f>
        <v>3.63937416562136</v>
      </c>
      <c r="K18" s="47" t="n">
        <f aca="false">BS!K12/(BS!K19+BS!K20)</f>
        <v>3.5572750305211</v>
      </c>
      <c r="L18" s="47" t="n">
        <f aca="false">BS!L12/(BS!L19+BS!L20)</f>
        <v>3.49088936321577</v>
      </c>
      <c r="M18" s="47" t="n">
        <f aca="false">BS!M12/(BS!M19+BS!M20)</f>
        <v>3.44095666442269</v>
      </c>
    </row>
    <row r="19" customFormat="false" ht="15" hidden="false" customHeight="false" outlineLevel="0" collapsed="false">
      <c r="B19" s="6" t="s">
        <v>189</v>
      </c>
      <c r="C19" s="19" t="s">
        <v>76</v>
      </c>
      <c r="H19" s="16" t="n">
        <f aca="false">BS!H8-BS!H21</f>
        <v>37600</v>
      </c>
      <c r="I19" s="16" t="n">
        <f aca="false">BS!I8-BS!I21</f>
        <v>39131.7588295413</v>
      </c>
      <c r="J19" s="16" t="n">
        <f aca="false">BS!J8-BS!J21</f>
        <v>40730.6143532804</v>
      </c>
      <c r="K19" s="16" t="n">
        <f aca="false">BS!K8-BS!K21</f>
        <v>42460.5964632781</v>
      </c>
      <c r="L19" s="16" t="n">
        <f aca="false">BS!L8-BS!L21</f>
        <v>44319.7437692056</v>
      </c>
      <c r="M19" s="16" t="n">
        <f aca="false">BS!M8-BS!M21</f>
        <v>46294.1540843443</v>
      </c>
    </row>
    <row r="20" customFormat="false" ht="15" hidden="false" customHeight="false" outlineLevel="0" collapsed="false">
      <c r="B20" s="6" t="s">
        <v>190</v>
      </c>
      <c r="C20" s="19" t="s">
        <v>188</v>
      </c>
      <c r="H20" s="47" t="n">
        <f aca="false">(BS!H8-BS!H21)/IS!H13</f>
        <v>1.56503642039542</v>
      </c>
      <c r="I20" s="47" t="n">
        <f aca="false">(BS!I8-BS!I21)/IS!I13</f>
        <v>1.49673634076971</v>
      </c>
      <c r="J20" s="47" t="n">
        <f aca="false">(BS!J8-BS!J21)/IS!J13</f>
        <v>1.4314794029412</v>
      </c>
      <c r="K20" s="47" t="n">
        <f aca="false">(BS!K8-BS!K21)/IS!K13</f>
        <v>1.36925486326</v>
      </c>
      <c r="L20" s="47" t="n">
        <f aca="false">(BS!L8-BS!L21)/IS!L13</f>
        <v>1.32550334592121</v>
      </c>
      <c r="M20" s="47" t="n">
        <f aca="false">(BS!M8-BS!M21)/IS!M13</f>
        <v>1.29397522901904</v>
      </c>
    </row>
    <row r="21" customFormat="false" ht="15" hidden="false" customHeight="false" outlineLevel="0" collapsed="false">
      <c r="A21" s="3" t="s">
        <v>1</v>
      </c>
      <c r="B21" s="4" t="s">
        <v>191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customFormat="false" ht="15" hidden="false" customHeight="false" outlineLevel="0" collapsed="false">
      <c r="B22" s="6" t="s">
        <v>192</v>
      </c>
      <c r="C22" s="19" t="s">
        <v>112</v>
      </c>
      <c r="H22" s="48" t="n">
        <f aca="false">BS!H10/IS!H7*365</f>
        <v>17.8860681957395</v>
      </c>
      <c r="I22" s="48" t="n">
        <f aca="false">BS!I10/IS!I7*365</f>
        <v>18</v>
      </c>
      <c r="J22" s="48" t="n">
        <f aca="false">BS!J10/IS!J7*365</f>
        <v>18</v>
      </c>
      <c r="K22" s="48" t="n">
        <f aca="false">BS!K10/IS!K7*365</f>
        <v>18</v>
      </c>
      <c r="L22" s="48" t="n">
        <f aca="false">BS!L10/IS!L7*365</f>
        <v>18</v>
      </c>
      <c r="M22" s="48" t="n">
        <f aca="false">BS!M10/IS!M7*365</f>
        <v>18</v>
      </c>
    </row>
    <row r="23" customFormat="false" ht="15" hidden="false" customHeight="false" outlineLevel="0" collapsed="false">
      <c r="B23" s="6" t="s">
        <v>193</v>
      </c>
      <c r="C23" s="19" t="s">
        <v>112</v>
      </c>
      <c r="H23" s="48" t="n">
        <f aca="false">BS!H9/IS!H9*365</f>
        <v>135.305456702254</v>
      </c>
      <c r="I23" s="48" t="n">
        <f aca="false">BS!I9/IS!I9*365</f>
        <v>135</v>
      </c>
      <c r="J23" s="48" t="n">
        <f aca="false">BS!J9/IS!J9*365</f>
        <v>135</v>
      </c>
      <c r="K23" s="48" t="n">
        <f aca="false">BS!K9/IS!K9*365</f>
        <v>135</v>
      </c>
      <c r="L23" s="48" t="n">
        <f aca="false">BS!L9/IS!L9*365</f>
        <v>135</v>
      </c>
      <c r="M23" s="48" t="n">
        <f aca="false">BS!M9/IS!M9*365</f>
        <v>135</v>
      </c>
    </row>
    <row r="24" customFormat="false" ht="15" hidden="false" customHeight="false" outlineLevel="0" collapsed="false">
      <c r="B24" s="6" t="s">
        <v>194</v>
      </c>
      <c r="C24" s="19" t="s">
        <v>112</v>
      </c>
      <c r="H24" s="48" t="n">
        <f aca="false">BS!H19/IS!H9*365</f>
        <v>70.358837485172</v>
      </c>
      <c r="I24" s="48" t="n">
        <f aca="false">BS!I19/IS!I9*365</f>
        <v>70</v>
      </c>
      <c r="J24" s="48" t="n">
        <f aca="false">BS!J19/IS!J9*365</f>
        <v>70</v>
      </c>
      <c r="K24" s="48" t="n">
        <f aca="false">BS!K19/IS!K9*365</f>
        <v>70</v>
      </c>
      <c r="L24" s="48" t="n">
        <f aca="false">BS!L19/IS!L9*365</f>
        <v>70</v>
      </c>
      <c r="M24" s="48" t="n">
        <f aca="false">BS!M19/IS!M9*365</f>
        <v>70</v>
      </c>
    </row>
    <row r="25" customFormat="false" ht="15" hidden="false" customHeight="false" outlineLevel="0" collapsed="false">
      <c r="B25" s="6" t="s">
        <v>195</v>
      </c>
      <c r="C25" s="19" t="s">
        <v>112</v>
      </c>
      <c r="H25" s="49" t="n">
        <f aca="false">H22+H23-H24</f>
        <v>82.8326874128213</v>
      </c>
      <c r="I25" s="49" t="n">
        <f aca="false">I22+I23-I24</f>
        <v>83</v>
      </c>
      <c r="J25" s="49" t="n">
        <f aca="false">J22+J23-J24</f>
        <v>83</v>
      </c>
      <c r="K25" s="49" t="n">
        <f aca="false">K22+K23-K24</f>
        <v>83</v>
      </c>
      <c r="L25" s="49" t="n">
        <f aca="false">L22+L23-L24</f>
        <v>83</v>
      </c>
      <c r="M25" s="49" t="n">
        <f aca="false">M22+M23-M24</f>
        <v>83</v>
      </c>
    </row>
    <row r="26" customFormat="false" ht="15" hidden="false" customHeight="false" outlineLevel="0" collapsed="false">
      <c r="A26" s="3" t="s">
        <v>1</v>
      </c>
      <c r="B26" s="4" t="s">
        <v>196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customFormat="false" ht="15" hidden="false" customHeight="false" outlineLevel="0" collapsed="false">
      <c r="B27" s="6" t="s">
        <v>197</v>
      </c>
      <c r="C27" s="19" t="s">
        <v>76</v>
      </c>
      <c r="I27" s="16" t="n">
        <f aca="false">DCF!I32</f>
        <v>16691.0563705723</v>
      </c>
      <c r="J27" s="16" t="n">
        <f aca="false">DCF!J32</f>
        <v>18161.0889402485</v>
      </c>
      <c r="K27" s="16" t="n">
        <f aca="false">DCF!K32</f>
        <v>19844.8909221258</v>
      </c>
      <c r="L27" s="16" t="n">
        <f aca="false">DCF!L32</f>
        <v>21435.608686954</v>
      </c>
      <c r="M27" s="16" t="n">
        <f aca="false">DCF!M32</f>
        <v>22950.1001506639</v>
      </c>
    </row>
    <row r="28" customFormat="false" ht="15" hidden="false" customHeight="false" outlineLevel="0" collapsed="false">
      <c r="B28" s="6" t="s">
        <v>198</v>
      </c>
      <c r="C28" s="19" t="s">
        <v>89</v>
      </c>
      <c r="I28" s="17" t="n">
        <f aca="false">DCF!I32/IS!I20</f>
        <v>0.795404196450449</v>
      </c>
      <c r="J28" s="17" t="n">
        <f aca="false">DCF!J32/IS!J20</f>
        <v>0.797880366137997</v>
      </c>
      <c r="K28" s="17" t="n">
        <f aca="false">DCF!K32/IS!K20</f>
        <v>0.802762704423129</v>
      </c>
      <c r="L28" s="17" t="n">
        <f aca="false">DCF!L32/IS!L20</f>
        <v>0.806347669977523</v>
      </c>
      <c r="M28" s="17" t="n">
        <f aca="false">DCF!M32/IS!M20</f>
        <v>0.80856052757185</v>
      </c>
    </row>
    <row r="29" customFormat="false" ht="15" hidden="false" customHeight="false" outlineLevel="0" collapsed="false">
      <c r="B29" s="6" t="s">
        <v>199</v>
      </c>
      <c r="C29" s="19" t="s">
        <v>89</v>
      </c>
      <c r="I29" s="17" t="n">
        <f aca="false">-CF!I20/IS!I20</f>
        <v>0.85</v>
      </c>
      <c r="J29" s="17" t="n">
        <f aca="false">-CF!J20/IS!J20</f>
        <v>0.85</v>
      </c>
      <c r="K29" s="17" t="n">
        <f aca="false">-CF!K20/IS!K20</f>
        <v>0.85</v>
      </c>
      <c r="L29" s="17" t="n">
        <f aca="false">-CF!L20/IS!L20</f>
        <v>0.85</v>
      </c>
      <c r="M29" s="17" t="n">
        <f aca="false">-CF!M20/IS!M20</f>
        <v>0.85</v>
      </c>
    </row>
  </sheetData>
  <conditionalFormatting sqref="D9:M9">
    <cfRule type="cellIs" priority="2" operator="greaterThan" aboveAverage="0" equalAverage="0" bottom="0" percent="0" rank="0" text="" dxfId="2">
      <formula>0.15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2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1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13" min="4" style="0" width="11.5"/>
  </cols>
  <sheetData>
    <row r="2" customFormat="false" ht="19.7" hidden="false" customHeight="false" outlineLevel="0" collapsed="false">
      <c r="B2" s="18" t="str">
        <f aca="false">"DCF Valuation - "&amp;Inputs!$D$5</f>
        <v>DCF Valuation - ITC Limited</v>
      </c>
    </row>
    <row r="3" customFormat="false" ht="15" hidden="false" customHeight="false" outlineLevel="0" collapsed="false">
      <c r="B3" s="2" t="str">
        <f aca="false">Inputs!$D$6&amp;"  |  Scenario: "&amp;Inputs!$D$9</f>
        <v>INR crore (Rs cr)  |  Scenario: Base</v>
      </c>
    </row>
    <row r="7" customFormat="false" ht="15" hidden="false" customHeight="false" outlineLevel="0" collapsed="false">
      <c r="A7" s="3" t="s">
        <v>1</v>
      </c>
      <c r="B7" s="4" t="s">
        <v>200</v>
      </c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B8" s="6" t="s">
        <v>201</v>
      </c>
      <c r="C8" s="19" t="s">
        <v>89</v>
      </c>
      <c r="D8" s="34" t="n">
        <v>0.066</v>
      </c>
      <c r="F8" s="2" t="s">
        <v>202</v>
      </c>
    </row>
    <row r="9" customFormat="false" ht="15" hidden="false" customHeight="false" outlineLevel="0" collapsed="false">
      <c r="B9" s="6" t="s">
        <v>203</v>
      </c>
      <c r="C9" s="19" t="s">
        <v>89</v>
      </c>
      <c r="D9" s="34" t="n">
        <v>0.07</v>
      </c>
      <c r="F9" s="2" t="s">
        <v>204</v>
      </c>
    </row>
    <row r="10" customFormat="false" ht="15" hidden="false" customHeight="false" outlineLevel="0" collapsed="false">
      <c r="B10" s="6" t="s">
        <v>205</v>
      </c>
      <c r="C10" s="19" t="s">
        <v>188</v>
      </c>
      <c r="D10" s="50" t="n">
        <v>0.85</v>
      </c>
      <c r="F10" s="2" t="s">
        <v>206</v>
      </c>
    </row>
    <row r="11" customFormat="false" ht="15" hidden="false" customHeight="false" outlineLevel="0" collapsed="false">
      <c r="B11" s="6" t="s">
        <v>207</v>
      </c>
      <c r="C11" s="19" t="s">
        <v>89</v>
      </c>
      <c r="D11" s="36" t="n">
        <f aca="false">D8+D10*D9</f>
        <v>0.1255</v>
      </c>
    </row>
    <row r="12" customFormat="false" ht="15" hidden="false" customHeight="false" outlineLevel="0" collapsed="false">
      <c r="B12" s="6" t="s">
        <v>208</v>
      </c>
      <c r="C12" s="19" t="s">
        <v>89</v>
      </c>
      <c r="D12" s="34" t="n">
        <v>0.08</v>
      </c>
    </row>
    <row r="13" customFormat="false" ht="15" hidden="false" customHeight="false" outlineLevel="0" collapsed="false">
      <c r="B13" s="6" t="s">
        <v>209</v>
      </c>
      <c r="C13" s="19" t="s">
        <v>89</v>
      </c>
      <c r="D13" s="17" t="n">
        <f aca="false">Inputs!D10</f>
        <v>0.2517</v>
      </c>
    </row>
    <row r="14" customFormat="false" ht="15" hidden="false" customHeight="false" outlineLevel="0" collapsed="false">
      <c r="B14" s="6" t="s">
        <v>210</v>
      </c>
      <c r="C14" s="19" t="s">
        <v>89</v>
      </c>
      <c r="D14" s="36" t="n">
        <f aca="false">D12*(1-D13)</f>
        <v>0.059864</v>
      </c>
    </row>
    <row r="15" customFormat="false" ht="15" hidden="false" customHeight="false" outlineLevel="0" collapsed="false">
      <c r="B15" s="6" t="s">
        <v>211</v>
      </c>
      <c r="C15" s="19" t="s">
        <v>76</v>
      </c>
      <c r="D15" s="16" t="n">
        <f aca="false">Inputs!D13</f>
        <v>333876</v>
      </c>
    </row>
    <row r="16" customFormat="false" ht="15" hidden="false" customHeight="false" outlineLevel="0" collapsed="false">
      <c r="B16" s="6" t="s">
        <v>212</v>
      </c>
      <c r="C16" s="19" t="s">
        <v>76</v>
      </c>
      <c r="D16" s="16" t="n">
        <f aca="false">BS!H21</f>
        <v>400</v>
      </c>
    </row>
    <row r="18" customFormat="false" ht="15" hidden="false" customHeight="false" outlineLevel="0" collapsed="false">
      <c r="B18" s="13" t="s">
        <v>213</v>
      </c>
      <c r="D18" s="35" t="s">
        <v>214</v>
      </c>
      <c r="E18" s="35" t="s">
        <v>215</v>
      </c>
    </row>
    <row r="19" customFormat="false" ht="15" hidden="false" customHeight="false" outlineLevel="0" collapsed="false">
      <c r="B19" s="6" t="s">
        <v>216</v>
      </c>
      <c r="C19" s="19"/>
      <c r="D19" s="36" t="n">
        <f aca="false">D15/(D15+D16)</f>
        <v>0.998803384029963</v>
      </c>
      <c r="E19" s="36" t="n">
        <f aca="false">D11</f>
        <v>0.1255</v>
      </c>
    </row>
    <row r="20" customFormat="false" ht="15" hidden="false" customHeight="false" outlineLevel="0" collapsed="false">
      <c r="B20" s="6" t="s">
        <v>217</v>
      </c>
      <c r="C20" s="19"/>
      <c r="D20" s="36" t="n">
        <f aca="false">D16/(D15+D16)</f>
        <v>0.00119661597003674</v>
      </c>
      <c r="E20" s="36" t="n">
        <f aca="false">D14</f>
        <v>0.059864</v>
      </c>
    </row>
    <row r="21" customFormat="false" ht="15" hidden="false" customHeight="false" outlineLevel="0" collapsed="false">
      <c r="B21" s="13" t="s">
        <v>218</v>
      </c>
      <c r="C21" s="19" t="s">
        <v>89</v>
      </c>
      <c r="E21" s="51" t="n">
        <f aca="false">SUMPRODUCT(D19:D20,E19:E20)</f>
        <v>0.125421458914191</v>
      </c>
    </row>
    <row r="22" customFormat="false" ht="15" hidden="false" customHeight="false" outlineLevel="0" collapsed="false">
      <c r="B22" s="6" t="s">
        <v>219</v>
      </c>
      <c r="C22" s="19" t="s">
        <v>89</v>
      </c>
      <c r="E22" s="34" t="n">
        <v>0.05</v>
      </c>
    </row>
    <row r="23" customFormat="false" ht="15" hidden="false" customHeight="false" outlineLevel="0" collapsed="false">
      <c r="B23" s="6" t="s">
        <v>220</v>
      </c>
      <c r="C23" s="19"/>
      <c r="E23" s="52" t="n">
        <f aca="false">Inputs!D12</f>
        <v>45747</v>
      </c>
    </row>
    <row r="24" customFormat="false" ht="15" hidden="false" customHeight="false" outlineLevel="0" collapsed="false">
      <c r="A24" s="3" t="s">
        <v>1</v>
      </c>
      <c r="B24" s="4" t="s">
        <v>221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5" hidden="false" customHeight="false" outlineLevel="0" collapsed="false">
      <c r="B25" s="28" t="s">
        <v>72</v>
      </c>
      <c r="C25" s="29" t="s">
        <v>73</v>
      </c>
      <c r="D25" s="30" t="n">
        <f aca="false">Inputs!$D$7</f>
        <v>2021</v>
      </c>
      <c r="E25" s="30" t="n">
        <f aca="false">D25+1</f>
        <v>2022</v>
      </c>
      <c r="F25" s="30" t="n">
        <f aca="false">E25+1</f>
        <v>2023</v>
      </c>
      <c r="G25" s="30" t="n">
        <f aca="false">F25+1</f>
        <v>2024</v>
      </c>
      <c r="H25" s="30" t="n">
        <f aca="false">G25+1</f>
        <v>2025</v>
      </c>
      <c r="I25" s="31" t="n">
        <f aca="false">H25+1</f>
        <v>2026</v>
      </c>
      <c r="J25" s="31" t="n">
        <f aca="false">I25+1</f>
        <v>2027</v>
      </c>
      <c r="K25" s="31" t="n">
        <f aca="false">J25+1</f>
        <v>2028</v>
      </c>
      <c r="L25" s="31" t="n">
        <f aca="false">K25+1</f>
        <v>2029</v>
      </c>
      <c r="M25" s="31" t="n">
        <f aca="false">L25+1</f>
        <v>2030</v>
      </c>
    </row>
    <row r="26" customFormat="false" ht="15" hidden="false" customHeight="false" outlineLevel="0" collapsed="false">
      <c r="B26" s="6" t="s">
        <v>138</v>
      </c>
      <c r="C26" s="19" t="s">
        <v>76</v>
      </c>
      <c r="I26" s="16" t="n">
        <f aca="false">IS!I15</f>
        <v>24464.7242</v>
      </c>
      <c r="J26" s="16" t="n">
        <f aca="false">IS!J15</f>
        <v>26695.822255375</v>
      </c>
      <c r="K26" s="16" t="n">
        <f aca="false">IS!K15</f>
        <v>29163.4643055962</v>
      </c>
      <c r="L26" s="16" t="n">
        <f aca="false">IS!L15</f>
        <v>31490.0421587417</v>
      </c>
      <c r="M26" s="16" t="n">
        <f aca="false">IS!M15</f>
        <v>33720.8000114232</v>
      </c>
    </row>
    <row r="27" customFormat="false" ht="15" hidden="false" customHeight="false" outlineLevel="0" collapsed="false">
      <c r="B27" s="6" t="s">
        <v>222</v>
      </c>
      <c r="C27" s="19" t="s">
        <v>76</v>
      </c>
      <c r="I27" s="16" t="n">
        <f aca="false">-I26*Inputs!$D$10</f>
        <v>-6157.77108114</v>
      </c>
      <c r="J27" s="16" t="n">
        <f aca="false">-J26*Inputs!$D$10</f>
        <v>-6719.33846167789</v>
      </c>
      <c r="K27" s="16" t="n">
        <f aca="false">-K26*Inputs!$D$10</f>
        <v>-7340.44396571857</v>
      </c>
      <c r="L27" s="16" t="n">
        <f aca="false">-L26*Inputs!$D$10</f>
        <v>-7926.04361135528</v>
      </c>
      <c r="M27" s="16" t="n">
        <f aca="false">-M26*Inputs!$D$10</f>
        <v>-8487.52536287522</v>
      </c>
    </row>
    <row r="28" customFormat="false" ht="15" hidden="false" customHeight="false" outlineLevel="0" collapsed="false">
      <c r="B28" s="13" t="s">
        <v>223</v>
      </c>
      <c r="C28" s="19" t="s">
        <v>76</v>
      </c>
      <c r="I28" s="41" t="n">
        <f aca="false">I26+I27</f>
        <v>18306.95311886</v>
      </c>
      <c r="J28" s="41" t="n">
        <f aca="false">J26+J27</f>
        <v>19976.4837936971</v>
      </c>
      <c r="K28" s="41" t="n">
        <f aca="false">K26+K27</f>
        <v>21823.0203398777</v>
      </c>
      <c r="L28" s="41" t="n">
        <f aca="false">L26+L27</f>
        <v>23563.9985473864</v>
      </c>
      <c r="M28" s="41" t="n">
        <f aca="false">M26+M27</f>
        <v>25233.274648548</v>
      </c>
    </row>
    <row r="29" customFormat="false" ht="15" hidden="false" customHeight="false" outlineLevel="0" collapsed="false">
      <c r="B29" s="6" t="s">
        <v>163</v>
      </c>
      <c r="C29" s="19" t="s">
        <v>76</v>
      </c>
      <c r="I29" s="16" t="n">
        <f aca="false">IS!I14</f>
        <v>1680</v>
      </c>
      <c r="J29" s="16" t="n">
        <f aca="false">IS!J14</f>
        <v>1757.68833625</v>
      </c>
      <c r="K29" s="16" t="n">
        <f aca="false">IS!K14</f>
        <v>1846.53799754375</v>
      </c>
      <c r="L29" s="16" t="n">
        <f aca="false">IS!L14</f>
        <v>1946.11921013344</v>
      </c>
      <c r="M29" s="16" t="n">
        <f aca="false">IS!M14</f>
        <v>2055.89265327318</v>
      </c>
    </row>
    <row r="30" customFormat="false" ht="15" hidden="false" customHeight="false" outlineLevel="0" collapsed="false">
      <c r="B30" s="6" t="s">
        <v>224</v>
      </c>
      <c r="C30" s="19" t="s">
        <v>76</v>
      </c>
      <c r="I30" s="16" t="n">
        <f aca="false">CF!I16</f>
        <v>-2789.833375</v>
      </c>
      <c r="J30" s="16" t="n">
        <f aca="false">CF!J16</f>
        <v>-3026.969211875</v>
      </c>
      <c r="K30" s="16" t="n">
        <f aca="false">CF!K16</f>
        <v>-3269.126748825</v>
      </c>
      <c r="L30" s="16" t="n">
        <f aca="false">CF!L16</f>
        <v>-3514.31125498688</v>
      </c>
      <c r="M30" s="16" t="n">
        <f aca="false">CF!M16</f>
        <v>-3760.31304283596</v>
      </c>
    </row>
    <row r="31" customFormat="false" ht="15" hidden="false" customHeight="false" outlineLevel="0" collapsed="false">
      <c r="B31" s="6" t="s">
        <v>225</v>
      </c>
      <c r="C31" s="19" t="s">
        <v>76</v>
      </c>
      <c r="I31" s="16" t="n">
        <f aca="false">SUM(CF!I9:I13)</f>
        <v>-506.063373287672</v>
      </c>
      <c r="J31" s="16" t="n">
        <f aca="false">SUM(CF!J9:J13)</f>
        <v>-546.113977823629</v>
      </c>
      <c r="K31" s="16" t="n">
        <f aca="false">SUM(CF!K9:K13)</f>
        <v>-555.540666470617</v>
      </c>
      <c r="L31" s="16" t="n">
        <f aca="false">SUM(CF!L9:L13)</f>
        <v>-560.197815578985</v>
      </c>
      <c r="M31" s="16" t="n">
        <f aca="false">SUM(CF!M9:M13)</f>
        <v>-578.754108321263</v>
      </c>
    </row>
    <row r="32" customFormat="false" ht="15" hidden="false" customHeight="false" outlineLevel="0" collapsed="false">
      <c r="B32" s="13" t="s">
        <v>221</v>
      </c>
      <c r="C32" s="19" t="s">
        <v>76</v>
      </c>
      <c r="I32" s="41" t="n">
        <f aca="false">I28+I29+I30+I31</f>
        <v>16691.0563705723</v>
      </c>
      <c r="J32" s="41" t="n">
        <f aca="false">J28+J29+J30+J31</f>
        <v>18161.0889402485</v>
      </c>
      <c r="K32" s="41" t="n">
        <f aca="false">K28+K29+K30+K31</f>
        <v>19844.8909221258</v>
      </c>
      <c r="L32" s="41" t="n">
        <f aca="false">L28+L29+L30+L31</f>
        <v>21435.608686954</v>
      </c>
      <c r="M32" s="41" t="n">
        <f aca="false">M28+M29+M30+M31</f>
        <v>22950.1001506639</v>
      </c>
    </row>
    <row r="33" customFormat="false" ht="15" hidden="false" customHeight="false" outlineLevel="0" collapsed="false">
      <c r="B33" s="6" t="s">
        <v>226</v>
      </c>
      <c r="C33" s="19" t="s">
        <v>227</v>
      </c>
      <c r="I33" s="53" t="n">
        <f aca="false">DATE(I$25,3,31)</f>
        <v>46112</v>
      </c>
      <c r="J33" s="53" t="n">
        <f aca="false">DATE(J$25,3,31)</f>
        <v>46477</v>
      </c>
      <c r="K33" s="53" t="n">
        <f aca="false">DATE(K$25,3,31)</f>
        <v>46843</v>
      </c>
      <c r="L33" s="53" t="n">
        <f aca="false">DATE(L$25,3,31)</f>
        <v>47208</v>
      </c>
      <c r="M33" s="53" t="n">
        <f aca="false">DATE(M$25,3,31)</f>
        <v>47573</v>
      </c>
    </row>
    <row r="34" customFormat="false" ht="15" hidden="false" customHeight="false" outlineLevel="0" collapsed="false">
      <c r="B34" s="6" t="s">
        <v>228</v>
      </c>
      <c r="C34" s="19" t="s">
        <v>229</v>
      </c>
      <c r="I34" s="54" t="n">
        <f aca="false">YEARFRAC($E$23,I33)</f>
        <v>1</v>
      </c>
      <c r="J34" s="54" t="n">
        <f aca="false">YEARFRAC($E$23,J33)</f>
        <v>2</v>
      </c>
      <c r="K34" s="54" t="n">
        <f aca="false">YEARFRAC($E$23,K33)</f>
        <v>3</v>
      </c>
      <c r="L34" s="54" t="n">
        <f aca="false">YEARFRAC($E$23,L33)</f>
        <v>4</v>
      </c>
      <c r="M34" s="54" t="n">
        <f aca="false">YEARFRAC($E$23,M33)</f>
        <v>5</v>
      </c>
    </row>
    <row r="35" customFormat="false" ht="15" hidden="false" customHeight="false" outlineLevel="0" collapsed="false">
      <c r="B35" s="6" t="s">
        <v>230</v>
      </c>
      <c r="C35" s="19" t="s">
        <v>188</v>
      </c>
      <c r="I35" s="55" t="n">
        <f aca="false">1/(1+$E$21)^I34</f>
        <v>0.888556009021547</v>
      </c>
      <c r="J35" s="55" t="n">
        <f aca="false">1/(1+$E$21)^J34</f>
        <v>0.789531781168299</v>
      </c>
      <c r="K35" s="55" t="n">
        <f aca="false">1/(1+$E$21)^K34</f>
        <v>0.701543208470577</v>
      </c>
      <c r="L35" s="55" t="n">
        <f aca="false">1/(1+$E$21)^L34</f>
        <v>0.623360433474787</v>
      </c>
      <c r="M35" s="55" t="n">
        <f aca="false">1/(1+$E$21)^M34</f>
        <v>0.553890658950298</v>
      </c>
    </row>
    <row r="36" customFormat="false" ht="15" hidden="false" customHeight="false" outlineLevel="0" collapsed="false">
      <c r="B36" s="13" t="s">
        <v>231</v>
      </c>
      <c r="C36" s="19" t="s">
        <v>76</v>
      </c>
      <c r="I36" s="42" t="n">
        <f aca="false">I32*I35</f>
        <v>14830.9384349894</v>
      </c>
      <c r="J36" s="42" t="n">
        <f aca="false">J32*J35</f>
        <v>14338.7568989503</v>
      </c>
      <c r="K36" s="42" t="n">
        <f aca="false">K32*K35</f>
        <v>13922.0484492568</v>
      </c>
      <c r="L36" s="42" t="n">
        <f aca="false">L32*L35</f>
        <v>13362.1103228955</v>
      </c>
      <c r="M36" s="42" t="n">
        <f aca="false">M32*M35</f>
        <v>12711.8460954266</v>
      </c>
    </row>
    <row r="37" customFormat="false" ht="15" hidden="false" customHeight="false" outlineLevel="0" collapsed="false">
      <c r="A37" s="3" t="s">
        <v>1</v>
      </c>
      <c r="B37" s="4" t="s">
        <v>232</v>
      </c>
      <c r="C37" s="5"/>
      <c r="D37" s="5"/>
      <c r="E37" s="5"/>
      <c r="F37" s="5"/>
      <c r="G37" s="5"/>
      <c r="H37" s="5"/>
    </row>
    <row r="38" customFormat="false" ht="15" hidden="false" customHeight="false" outlineLevel="0" collapsed="false">
      <c r="B38" s="6" t="s">
        <v>233</v>
      </c>
      <c r="C38" s="19" t="s">
        <v>76</v>
      </c>
      <c r="E38" s="44" t="n">
        <f aca="false">SUM(I36:M36)</f>
        <v>69165.7002015186</v>
      </c>
    </row>
    <row r="39" customFormat="false" ht="15" hidden="false" customHeight="false" outlineLevel="0" collapsed="false">
      <c r="B39" s="6" t="s">
        <v>234</v>
      </c>
      <c r="C39" s="19" t="s">
        <v>76</v>
      </c>
      <c r="E39" s="44" t="n">
        <f aca="false">M32*(1+E22)/(E21-E22)</f>
        <v>319505.953678432</v>
      </c>
    </row>
    <row r="40" customFormat="false" ht="15" hidden="false" customHeight="false" outlineLevel="0" collapsed="false">
      <c r="B40" s="6" t="s">
        <v>235</v>
      </c>
      <c r="C40" s="19" t="s">
        <v>76</v>
      </c>
      <c r="E40" s="44" t="n">
        <f aca="false">E39*M35</f>
        <v>176971.36322149</v>
      </c>
    </row>
    <row r="41" customFormat="false" ht="15" hidden="false" customHeight="false" outlineLevel="0" collapsed="false">
      <c r="B41" s="13" t="s">
        <v>236</v>
      </c>
      <c r="C41" s="19" t="s">
        <v>76</v>
      </c>
      <c r="E41" s="41" t="n">
        <f aca="false">E38+E40</f>
        <v>246137.063423009</v>
      </c>
    </row>
    <row r="42" customFormat="false" ht="15" hidden="false" customHeight="false" outlineLevel="0" collapsed="false">
      <c r="B42" s="6" t="s">
        <v>237</v>
      </c>
      <c r="C42" s="19" t="s">
        <v>76</v>
      </c>
      <c r="E42" s="16" t="n">
        <f aca="false">BS!H8</f>
        <v>38000</v>
      </c>
    </row>
    <row r="43" customFormat="false" ht="15" hidden="false" customHeight="false" outlineLevel="0" collapsed="false">
      <c r="B43" s="6" t="s">
        <v>238</v>
      </c>
      <c r="C43" s="19" t="s">
        <v>76</v>
      </c>
      <c r="E43" s="16" t="n">
        <f aca="false">-BS!H21</f>
        <v>-400</v>
      </c>
    </row>
    <row r="44" customFormat="false" ht="15" hidden="false" customHeight="false" outlineLevel="0" collapsed="false">
      <c r="B44" s="13" t="s">
        <v>239</v>
      </c>
      <c r="C44" s="19" t="s">
        <v>76</v>
      </c>
      <c r="E44" s="41" t="n">
        <f aca="false">SUM(E41:E43)</f>
        <v>283737.063423009</v>
      </c>
    </row>
    <row r="45" customFormat="false" ht="15" hidden="false" customHeight="false" outlineLevel="0" collapsed="false">
      <c r="B45" s="6" t="s">
        <v>240</v>
      </c>
      <c r="C45" s="19" t="s">
        <v>241</v>
      </c>
      <c r="E45" s="56" t="n">
        <f aca="false">Inputs!D11</f>
        <v>1251</v>
      </c>
    </row>
    <row r="46" customFormat="false" ht="15" hidden="false" customHeight="false" outlineLevel="0" collapsed="false">
      <c r="B46" s="13" t="s">
        <v>242</v>
      </c>
      <c r="C46" s="19" t="s">
        <v>143</v>
      </c>
      <c r="E46" s="57" t="n">
        <f aca="false">E44/E45</f>
        <v>226.808204175067</v>
      </c>
    </row>
    <row r="47" customFormat="false" ht="15" hidden="false" customHeight="false" outlineLevel="0" collapsed="false">
      <c r="B47" s="6" t="s">
        <v>211</v>
      </c>
      <c r="C47" s="19" t="s">
        <v>76</v>
      </c>
      <c r="E47" s="16" t="n">
        <f aca="false">Inputs!D13</f>
        <v>333876</v>
      </c>
    </row>
    <row r="48" customFormat="false" ht="15" hidden="false" customHeight="false" outlineLevel="0" collapsed="false">
      <c r="B48" s="6" t="s">
        <v>243</v>
      </c>
      <c r="C48" s="19" t="s">
        <v>143</v>
      </c>
      <c r="E48" s="54" t="n">
        <f aca="false">E47/E45</f>
        <v>266.887290167866</v>
      </c>
    </row>
    <row r="49" customFormat="false" ht="15" hidden="false" customHeight="false" outlineLevel="0" collapsed="false">
      <c r="B49" s="6" t="s">
        <v>244</v>
      </c>
      <c r="C49" s="19" t="s">
        <v>89</v>
      </c>
      <c r="E49" s="36" t="n">
        <f aca="false">E44/E47-1</f>
        <v>-0.150172329179071</v>
      </c>
    </row>
    <row r="50" customFormat="false" ht="15" hidden="false" customHeight="false" outlineLevel="0" collapsed="false">
      <c r="B50" s="6" t="s">
        <v>245</v>
      </c>
      <c r="C50" s="19" t="s">
        <v>89</v>
      </c>
      <c r="E50" s="36" t="n">
        <f aca="false">E40/E41</f>
        <v>0.718995184066809</v>
      </c>
    </row>
    <row r="51" customFormat="false" ht="15" hidden="false" customHeight="false" outlineLevel="0" collapsed="false">
      <c r="B51" s="6" t="s">
        <v>246</v>
      </c>
      <c r="C51" s="19" t="s">
        <v>188</v>
      </c>
      <c r="E51" s="47" t="n">
        <f aca="false">E41/IS!H13</f>
        <v>10.2450390602709</v>
      </c>
    </row>
    <row r="52" customFormat="false" ht="15" hidden="false" customHeight="false" outlineLevel="0" collapsed="false">
      <c r="B52" s="6" t="s">
        <v>247</v>
      </c>
      <c r="C52" s="19" t="s">
        <v>188</v>
      </c>
      <c r="E52" s="47" t="n">
        <f aca="false">E39/IS!M13</f>
        <v>8.93056148797434</v>
      </c>
    </row>
    <row r="54" customFormat="false" ht="15" hidden="false" customHeight="false" outlineLevel="0" collapsed="false">
      <c r="A54" s="3" t="s">
        <v>1</v>
      </c>
      <c r="B54" s="4" t="s">
        <v>248</v>
      </c>
      <c r="C54" s="5"/>
      <c r="D54" s="5"/>
      <c r="E54" s="5"/>
      <c r="F54" s="5"/>
      <c r="G54" s="5"/>
      <c r="H54" s="5"/>
    </row>
    <row r="55" customFormat="false" ht="15" hidden="false" customHeight="false" outlineLevel="0" collapsed="false">
      <c r="C55" s="58" t="s">
        <v>249</v>
      </c>
      <c r="D55" s="51" t="n">
        <f aca="false">E55-0.005</f>
        <v>0.04</v>
      </c>
      <c r="E55" s="51" t="n">
        <f aca="false">F55-0.005</f>
        <v>0.045</v>
      </c>
      <c r="F55" s="51" t="n">
        <f aca="false">$E$22</f>
        <v>0.05</v>
      </c>
      <c r="G55" s="51" t="n">
        <f aca="false">F55+0.005</f>
        <v>0.055</v>
      </c>
      <c r="H55" s="51" t="n">
        <f aca="false">G55+0.005</f>
        <v>0.06</v>
      </c>
    </row>
    <row r="56" customFormat="false" ht="15" hidden="false" customHeight="false" outlineLevel="0" collapsed="false">
      <c r="C56" s="51" t="n">
        <f aca="false">C57-0.005</f>
        <v>0.115421458914191</v>
      </c>
      <c r="D56" s="54" t="n">
        <f aca="false">(SUMPRODUCT($I$32:$M$32/(1+$C56)^$I$34:$M$34)+$M$32*(1+D$55)/($C56-D$55)/(1+$C56)^$M$34+$E$42+$E$43)/$E$45</f>
        <v>233.322125216342</v>
      </c>
      <c r="E56" s="54" t="n">
        <f aca="false">(SUMPRODUCT($I$32:$M$32/(1+$C56)^$I$34:$M$34)+$M$32*(1+E$55)/($C56-E$55)/(1+$C56)^$M$34+$E$42+$E$43)/$E$45</f>
        <v>244.478968976335</v>
      </c>
      <c r="F56" s="54" t="n">
        <f aca="false">(SUMPRODUCT($I$32:$M$32/(1+$C56)^$I$34:$M$34)+$M$32*(1+F$55)/($C56-F$55)/(1+$C56)^$M$34+$E$42+$E$43)/$E$45</f>
        <v>257.341192583425</v>
      </c>
      <c r="G56" s="54" t="n">
        <f aca="false">(SUMPRODUCT($I$32:$M$32/(1+$C56)^$I$34:$M$34)+$M$32*(1+G$55)/($C56-G$55)/(1+$C56)^$M$34+$E$42+$E$43)/$E$45</f>
        <v>272.332167107528</v>
      </c>
      <c r="H56" s="54" t="n">
        <f aca="false">(SUMPRODUCT($I$32:$M$32/(1+$C56)^$I$34:$M$34)+$M$32*(1+H$55)/($C56-H$55)/(1+$C56)^$M$34+$E$42+$E$43)/$E$45</f>
        <v>290.028045980561</v>
      </c>
    </row>
    <row r="57" customFormat="false" ht="15" hidden="false" customHeight="false" outlineLevel="0" collapsed="false">
      <c r="C57" s="51" t="n">
        <f aca="false">C58-0.005</f>
        <v>0.120421458914191</v>
      </c>
      <c r="D57" s="54" t="n">
        <f aca="false">(SUMPRODUCT($I$32:$M$32/(1+$C57)^$I$34:$M$34)+$M$32*(1+D$55)/($C57-D$55)/(1+$C57)^$M$34+$E$42+$E$43)/$E$45</f>
        <v>220.43366244945</v>
      </c>
      <c r="E57" s="54" t="n">
        <f aca="false">(SUMPRODUCT($I$32:$M$32/(1+$C57)^$I$34:$M$34)+$M$32*(1+E$55)/($C57-E$55)/(1+$C57)^$M$34+$E$42+$E$43)/$E$45</f>
        <v>230.029982661965</v>
      </c>
      <c r="F57" s="54" t="n">
        <f aca="false">(SUMPRODUCT($I$32:$M$32/(1+$C57)^$I$34:$M$34)+$M$32*(1+F$55)/($C57-F$55)/(1+$C57)^$M$34+$E$42+$E$43)/$E$45</f>
        <v>240.989001171344</v>
      </c>
      <c r="G57" s="54" t="n">
        <f aca="false">(SUMPRODUCT($I$32:$M$32/(1+$C57)^$I$34:$M$34)+$M$32*(1+G$55)/($C57-G$55)/(1+$C57)^$M$34+$E$42+$E$43)/$E$45</f>
        <v>253.623160940376</v>
      </c>
      <c r="H57" s="54" t="n">
        <f aca="false">(SUMPRODUCT($I$32:$M$32/(1+$C57)^$I$34:$M$34)+$M$32*(1+H$55)/($C57-H$55)/(1+$C57)^$M$34+$E$42+$E$43)/$E$45</f>
        <v>268.34832612306</v>
      </c>
    </row>
    <row r="58" customFormat="false" ht="15" hidden="false" customHeight="false" outlineLevel="0" collapsed="false">
      <c r="C58" s="51" t="n">
        <f aca="false">$E$21</f>
        <v>0.125421458914191</v>
      </c>
      <c r="D58" s="54" t="n">
        <f aca="false">(SUMPRODUCT($I$32:$M$32/(1+$C58)^$I$34:$M$34)+$M$32*(1+D$55)/($C58-D$55)/(1+$C58)^$M$34+$E$42+$E$43)/$E$45</f>
        <v>209.057949242983</v>
      </c>
      <c r="E58" s="54" t="n">
        <f aca="false">(SUMPRODUCT($I$32:$M$32/(1+$C58)^$I$34:$M$34)+$M$32*(1+E$55)/($C58-E$55)/(1+$C58)^$M$34+$E$42+$E$43)/$E$45</f>
        <v>217.381288194748</v>
      </c>
      <c r="F58" s="59" t="n">
        <f aca="false">(SUMPRODUCT($I$32:$M$32/(1+$C58)^$I$34:$M$34)+$M$32*(1+F$55)/($C58-F$55)/(1+$C58)^$M$34+$E$42+$E$43)/$E$45</f>
        <v>226.808204175067</v>
      </c>
      <c r="G58" s="54" t="n">
        <f aca="false">(SUMPRODUCT($I$32:$M$32/(1+$C58)^$I$34:$M$34)+$M$32*(1+G$55)/($C58-G$55)/(1+$C58)^$M$34+$E$42+$E$43)/$E$45</f>
        <v>237.573762683624</v>
      </c>
      <c r="H58" s="54" t="n">
        <f aca="false">(SUMPRODUCT($I$32:$M$32/(1+$C58)^$I$34:$M$34)+$M$32*(1+H$55)/($C58-H$55)/(1+$C58)^$M$34+$E$42+$E$43)/$E$45</f>
        <v>249.98489111484</v>
      </c>
    </row>
    <row r="59" customFormat="false" ht="15" hidden="false" customHeight="false" outlineLevel="0" collapsed="false">
      <c r="C59" s="51" t="n">
        <f aca="false">C58+0.005</f>
        <v>0.130421458914191</v>
      </c>
      <c r="D59" s="54" t="n">
        <f aca="false">(SUMPRODUCT($I$32:$M$32/(1+$C59)^$I$34:$M$34)+$M$32*(1+D$55)/($C59-D$55)/(1+$C59)^$M$34+$E$42+$E$43)/$E$45</f>
        <v>198.943953205331</v>
      </c>
      <c r="E59" s="54" t="n">
        <f aca="false">(SUMPRODUCT($I$32:$M$32/(1+$C59)^$I$34:$M$34)+$M$32*(1+E$55)/($C59-E$55)/(1+$C59)^$M$34+$E$42+$E$43)/$E$45</f>
        <v>206.216678983771</v>
      </c>
      <c r="F59" s="54" t="n">
        <f aca="false">(SUMPRODUCT($I$32:$M$32/(1+$C59)^$I$34:$M$34)+$M$32*(1+F$55)/($C59-F$55)/(1+$C59)^$M$34+$E$42+$E$43)/$E$45</f>
        <v>214.39373127862</v>
      </c>
      <c r="G59" s="54" t="n">
        <f aca="false">(SUMPRODUCT($I$32:$M$32/(1+$C59)^$I$34:$M$34)+$M$32*(1+G$55)/($C59-G$55)/(1+$C59)^$M$34+$E$42+$E$43)/$E$45</f>
        <v>223.654964708728</v>
      </c>
      <c r="H59" s="54" t="n">
        <f aca="false">(SUMPRODUCT($I$32:$M$32/(1+$C59)^$I$34:$M$34)+$M$32*(1+H$55)/($C59-H$55)/(1+$C59)^$M$34+$E$42+$E$43)/$E$45</f>
        <v>234.231313385368</v>
      </c>
    </row>
    <row r="60" customFormat="false" ht="15" hidden="false" customHeight="false" outlineLevel="0" collapsed="false">
      <c r="C60" s="51" t="n">
        <f aca="false">C59+0.005</f>
        <v>0.135421458914191</v>
      </c>
      <c r="D60" s="54" t="n">
        <f aca="false">(SUMPRODUCT($I$32:$M$32/(1+$C60)^$I$34:$M$34)+$M$32*(1+D$55)/($C60-D$55)/(1+$C60)^$M$34+$E$42+$E$43)/$E$45</f>
        <v>189.893259577627</v>
      </c>
      <c r="E60" s="54" t="n">
        <f aca="false">(SUMPRODUCT($I$32:$M$32/(1+$C60)^$I$34:$M$34)+$M$32*(1+E$55)/($C60-E$55)/(1+$C60)^$M$34+$E$42+$E$43)/$E$45</f>
        <v>196.289890980752</v>
      </c>
      <c r="F60" s="54" t="n">
        <f aca="false">(SUMPRODUCT($I$32:$M$32/(1+$C60)^$I$34:$M$34)+$M$32*(1+F$55)/($C60-F$55)/(1+$C60)^$M$34+$E$42+$E$43)/$E$45</f>
        <v>203.435354291507</v>
      </c>
      <c r="G60" s="54" t="n">
        <f aca="false">(SUMPRODUCT($I$32:$M$32/(1+$C60)^$I$34:$M$34)+$M$32*(1+G$55)/($C60-G$55)/(1+$C60)^$M$34+$E$42+$E$43)/$E$45</f>
        <v>211.46931967711</v>
      </c>
      <c r="H60" s="54" t="n">
        <f aca="false">(SUMPRODUCT($I$32:$M$32/(1+$C60)^$I$34:$M$34)+$M$32*(1+H$55)/($C60-H$55)/(1+$C60)^$M$34+$E$42+$E$43)/$E$45</f>
        <v>220.568494553655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1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13" min="5" style="0" width="11.5"/>
  </cols>
  <sheetData>
    <row r="2" customFormat="false" ht="19.7" hidden="false" customHeight="false" outlineLevel="0" collapsed="false">
      <c r="B2" s="18" t="s">
        <v>250</v>
      </c>
    </row>
    <row r="3" customFormat="false" ht="15" hidden="false" customHeight="false" outlineLevel="0" collapsed="false">
      <c r="B3" s="2" t="s">
        <v>251</v>
      </c>
    </row>
    <row r="5" customFormat="false" ht="15" hidden="false" customHeight="false" outlineLevel="0" collapsed="false">
      <c r="A5" s="3" t="s">
        <v>1</v>
      </c>
      <c r="B5" s="4" t="s">
        <v>32</v>
      </c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B6" s="13" t="s">
        <v>252</v>
      </c>
      <c r="D6" s="58" t="s">
        <v>253</v>
      </c>
      <c r="E6" s="13" t="s">
        <v>254</v>
      </c>
    </row>
    <row r="7" customFormat="false" ht="15" hidden="false" customHeight="false" outlineLevel="0" collapsed="false">
      <c r="B7" s="6" t="s">
        <v>255</v>
      </c>
      <c r="D7" s="60" t="str">
        <f aca="false">IF(SUMPRODUCT(ABS(BS!H27:M27))&lt;0.01,"OK","ERROR")</f>
        <v>OK</v>
      </c>
      <c r="E7" s="2" t="s">
        <v>256</v>
      </c>
    </row>
    <row r="8" customFormat="false" ht="15" hidden="false" customHeight="false" outlineLevel="0" collapsed="false">
      <c r="B8" s="6" t="s">
        <v>257</v>
      </c>
      <c r="D8" s="60" t="str">
        <f aca="false">IF(MIN(BS!H8:M8)&gt;=0,"OK","ERROR")</f>
        <v>OK</v>
      </c>
      <c r="E8" s="2" t="s">
        <v>258</v>
      </c>
    </row>
    <row r="9" customFormat="false" ht="15" hidden="false" customHeight="false" outlineLevel="0" collapsed="false">
      <c r="B9" s="6" t="s">
        <v>259</v>
      </c>
      <c r="D9" s="60" t="str">
        <f aca="false">IF(ABS(BS!M24-BS!H24-SUM(IS!I20:M20)-SUM(CF!I20:M20))&lt;0.01,"OK","ERROR")</f>
        <v>OK</v>
      </c>
      <c r="E9" s="2" t="s">
        <v>260</v>
      </c>
    </row>
    <row r="10" customFormat="false" ht="15" hidden="false" customHeight="false" outlineLevel="0" collapsed="false">
      <c r="B10" s="6" t="s">
        <v>261</v>
      </c>
      <c r="D10" s="60" t="str">
        <f aca="false">IF(ABS(CF!M25-BS!M8)&lt;0.01,"OK","ERROR")</f>
        <v>OK</v>
      </c>
      <c r="E10" s="2" t="s">
        <v>262</v>
      </c>
    </row>
    <row r="11" customFormat="false" ht="15" hidden="false" customHeight="false" outlineLevel="0" collapsed="false">
      <c r="B11" s="6" t="s">
        <v>263</v>
      </c>
      <c r="D11" s="60" t="str">
        <f aca="false">IF(DCF!E21&gt;DCF!E22,"OK","ERROR")</f>
        <v>OK</v>
      </c>
      <c r="E11" s="2" t="s">
        <v>264</v>
      </c>
    </row>
    <row r="12" customFormat="false" ht="15" hidden="false" customHeight="false" outlineLevel="0" collapsed="false">
      <c r="B12" s="6" t="s">
        <v>265</v>
      </c>
      <c r="D12" s="60" t="str">
        <f aca="false">IF(OR(Inputs!D8=1,Inputs!D8=2,Inputs!D8=3),"OK","ERROR")</f>
        <v>OK</v>
      </c>
      <c r="E12" s="2" t="s">
        <v>266</v>
      </c>
    </row>
    <row r="13" customFormat="false" ht="15" hidden="false" customHeight="false" outlineLevel="0" collapsed="false">
      <c r="B13" s="6" t="s">
        <v>267</v>
      </c>
      <c r="D13" s="60" t="str">
        <f aca="false">IF(ABS(DCF!F58-DCF!E46)&lt;0.01,"OK","ERROR")</f>
        <v>OK</v>
      </c>
      <c r="E13" s="2" t="s">
        <v>268</v>
      </c>
    </row>
    <row r="14" customFormat="false" ht="15" hidden="false" customHeight="false" outlineLevel="0" collapsed="false">
      <c r="B14" s="6" t="s">
        <v>269</v>
      </c>
      <c r="D14" s="60" t="str">
        <f aca="false">IF(DCF!E50&lt;0.85,"OK","REVIEW")</f>
        <v>OK</v>
      </c>
      <c r="E14" s="2" t="s">
        <v>270</v>
      </c>
    </row>
    <row r="16" customFormat="false" ht="15" hidden="false" customHeight="false" outlineLevel="0" collapsed="false">
      <c r="B16" s="13" t="s">
        <v>271</v>
      </c>
      <c r="D16" s="58" t="str">
        <f aca="false">IF(COUNTIF(D7:D14,"OK")=8,"ALL PASS","REVIEW")</f>
        <v>ALL PASS</v>
      </c>
    </row>
  </sheetData>
  <conditionalFormatting sqref="D7:D16">
    <cfRule type="expression" priority="2" aboveAverage="0" equalAverage="0" bottom="0" percent="0" rank="0" text="" dxfId="0">
      <formula>OR(D7="OK",D7="ALL PASS")</formula>
    </cfRule>
    <cfRule type="expression" priority="3" aboveAverage="0" equalAverage="0" bottom="0" percent="0" rank="0" text="" dxfId="1">
      <formula>OR(D7="ERROR",D7="REVIEW")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2026-09-28T15:32:03Z</dcterms:created>
  <dc:creator>openpyxl</dc:creator>
  <dc:description/>
  <dc:language>en-US</dc:language>
  <cp:lastModifiedBy/>
  <dcterms:modified xsi:type="dcterms:W3CDTF">2026-09-28T15:32:05Z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